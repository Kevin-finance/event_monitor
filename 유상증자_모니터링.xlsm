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defaultThemeVersion="202300"/>
  <mc:AlternateContent xmlns:mc="http://schemas.openxmlformats.org/markup-compatibility/2006">
    <mc:Choice Requires="x15">
      <x15ac:absPath xmlns:x15ac="http://schemas.microsoft.com/office/spreadsheetml/2010/11/ac" url="C:\Users\MSK\git\etf_research\etf_research\workbooks\"/>
    </mc:Choice>
  </mc:AlternateContent>
  <xr:revisionPtr revIDLastSave="0" documentId="13_ncr:1_{CB7E9612-ACD0-4B97-8725-CC5429CD6231}" xr6:coauthVersionLast="47" xr6:coauthVersionMax="47" xr10:uidLastSave="{00000000-0000-0000-0000-000000000000}"/>
  <bookViews>
    <workbookView xWindow="-120" yWindow="-120" windowWidth="38640" windowHeight="21240" firstSheet="1" activeTab="3" xr2:uid="{C9FAAC45-4D47-4A03-B871-651F1881D495}"/>
  </bookViews>
  <sheets>
    <sheet name="Sheet1" sheetId="1" r:id="rId1"/>
    <sheet name="한화에어로스페이스" sheetId="5" r:id="rId2"/>
    <sheet name="SKC" sheetId="12" r:id="rId3"/>
    <sheet name="한화솔루션" sheetId="8" r:id="rId4"/>
    <sheet name="휴림에이텍" sheetId="10" r:id="rId5"/>
    <sheet name="피엠티" sheetId="11" r:id="rId6"/>
    <sheet name="Sheet2" sheetId="2" r:id="rId7"/>
    <sheet name="Sheet4" sheetId="4" r:id="rId8"/>
    <sheet name="참고" sheetId="9" r:id="rId9"/>
    <sheet name="RealTime" sheetId="7" r:id="rId10"/>
    <sheet name="xlwings.conf" sheetId="6" r:id="rId11"/>
  </sheets>
  <functionGroups builtInGroupCount="19">
    <functionGroup name="xlwings"/>
  </functionGroups>
  <externalReferences>
    <externalReference r:id="rId12"/>
    <externalReference r:id="rId13"/>
  </externalReferences>
  <definedNames>
    <definedName name="_xleta.N" hidden="1" xlm="1">#NAME?</definedName>
    <definedName name="_xleta.T" hidden="1" xlm="1">#NAME?</definedName>
  </definedNames>
  <calcPr calcId="191029"/>
  <extLst>
    <ext xmlns:x14="http://schemas.microsoft.com/office/spreadsheetml/2009/9/main" uri="{8193D73E-4604-4355-AFF4-8A2333D13BE4}">
      <x14:definedNames>
        <x14:definedName name="arb_spread">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bs_discrete_dividend">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bs_warrant">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bs_warrant_diluted">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test_add">
          <x14:argumentDescriptions count="2">
            <x14:argumentDescription index="0">Positional argument 1</x14:argumentDescription>
            <x14:argumentDescription index="1">Positional argument 2</x14:argumentDescription>
          </x14:argumentDescriptions>
        </x14:definedName>
        <x14:definedName name="update_dates">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7" i="8" l="1"/>
  <c r="D36" i="8"/>
  <c r="E36" i="8"/>
  <c r="J21" i="8"/>
  <c r="G11" i="8"/>
  <c r="J6" i="8" a="1"/>
  <c r="J8" i="8" a="1"/>
  <c r="J6" i="8" l="1"/>
  <c r="J8" i="8"/>
  <c r="C10" i="8"/>
  <c r="C10" i="12"/>
  <c r="C34" i="12"/>
  <c r="C14" i="12"/>
  <c r="C13" i="12"/>
  <c r="C11" i="12"/>
  <c r="C9" i="12"/>
  <c r="J8" i="12"/>
  <c r="G9" i="12"/>
  <c r="C4" i="7"/>
  <c r="A4" i="7"/>
  <c r="A3" i="7"/>
  <c r="L4" i="7" a="1"/>
  <c r="L4" i="7" s="1"/>
  <c r="K4" i="7" a="1"/>
  <c r="K4" i="7" s="1"/>
  <c r="J4" i="7" a="1"/>
  <c r="J4" i="7" s="1"/>
  <c r="K3" i="7" a="1"/>
  <c r="K3" i="7" s="1"/>
  <c r="J3" i="7" a="1"/>
  <c r="J3" i="7" s="1"/>
  <c r="C33" i="11"/>
  <c r="D29" i="11"/>
  <c r="C13" i="11"/>
  <c r="C12" i="11"/>
  <c r="C10" i="11"/>
  <c r="G9" i="11"/>
  <c r="C9" i="11"/>
  <c r="J8" i="11"/>
  <c r="C7" i="11"/>
  <c r="C7" i="10"/>
  <c r="C33" i="10"/>
  <c r="C13" i="10"/>
  <c r="C12" i="10"/>
  <c r="C10" i="10"/>
  <c r="C9" i="10"/>
  <c r="J8" i="10"/>
  <c r="G9" i="10"/>
  <c r="C14" i="8"/>
  <c r="C13" i="8"/>
  <c r="C11" i="8"/>
  <c r="C9" i="8"/>
  <c r="J7" i="10" a="1"/>
  <c r="J7" i="11" a="1"/>
  <c r="J7" i="12" a="1"/>
  <c r="J9" i="12" a="1"/>
  <c r="J9" i="10" a="1"/>
  <c r="J9" i="11" a="1"/>
  <c r="J16" i="8" l="1"/>
  <c r="J17" i="8"/>
  <c r="G22" i="8" s="1"/>
  <c r="J9" i="12"/>
  <c r="J20" i="12"/>
  <c r="J7" i="12"/>
  <c r="F36" i="8"/>
  <c r="J7" i="11"/>
  <c r="J9" i="11"/>
  <c r="J9" i="10"/>
  <c r="J7" i="10"/>
  <c r="D29" i="10"/>
  <c r="C42" i="8"/>
  <c r="J7" i="8"/>
  <c r="M37" i="5"/>
  <c r="M35" i="5"/>
  <c r="K33" i="5"/>
  <c r="G8" i="5"/>
  <c r="M31" i="5"/>
  <c r="N22" i="5"/>
  <c r="N21" i="5"/>
  <c r="J8" i="5"/>
  <c r="Q31" i="4"/>
  <c r="Q32" i="4"/>
  <c r="Q33" i="4"/>
  <c r="Q34" i="4"/>
  <c r="Q35" i="4"/>
  <c r="Q36" i="4"/>
  <c r="Q37" i="4"/>
  <c r="Q38" i="4"/>
  <c r="Q39" i="4"/>
  <c r="Q40" i="4"/>
  <c r="T40" i="4"/>
  <c r="Q41" i="4"/>
  <c r="T41" i="4"/>
  <c r="Q42" i="4"/>
  <c r="Q43" i="4"/>
  <c r="Q44" i="4"/>
  <c r="Q45" i="4"/>
  <c r="Q46" i="4"/>
  <c r="Q47" i="4"/>
  <c r="Q48" i="4"/>
  <c r="Q49" i="4"/>
  <c r="Q50" i="4"/>
  <c r="Q51" i="4"/>
  <c r="Q52" i="4"/>
  <c r="T52" i="4"/>
  <c r="Q53" i="4"/>
  <c r="T53" i="4"/>
  <c r="Q54" i="4"/>
  <c r="Q55" i="4"/>
  <c r="Q56" i="4"/>
  <c r="Q57" i="4"/>
  <c r="Q58" i="4"/>
  <c r="Q59" i="4"/>
  <c r="Q60" i="4"/>
  <c r="Q61" i="4"/>
  <c r="Q62" i="4"/>
  <c r="Q63" i="4"/>
  <c r="Q64" i="4"/>
  <c r="T64" i="4"/>
  <c r="Q65" i="4"/>
  <c r="T65" i="4"/>
  <c r="Q66" i="4"/>
  <c r="Q67" i="4"/>
  <c r="Q68" i="4"/>
  <c r="Q69" i="4"/>
  <c r="Q70" i="4"/>
  <c r="Q71" i="4"/>
  <c r="Q72" i="4"/>
  <c r="Q73" i="4"/>
  <c r="Q74" i="4"/>
  <c r="Q75" i="4"/>
  <c r="Q76" i="4"/>
  <c r="T76" i="4"/>
  <c r="Q77" i="4"/>
  <c r="T77" i="4"/>
  <c r="Q78" i="4"/>
  <c r="Q79" i="4"/>
  <c r="Q80" i="4"/>
  <c r="Q81" i="4"/>
  <c r="Q82" i="4"/>
  <c r="Q83" i="4"/>
  <c r="Q84" i="4"/>
  <c r="Q85" i="4"/>
  <c r="Q86" i="4"/>
  <c r="Q87" i="4"/>
  <c r="Q88" i="4"/>
  <c r="T88" i="4"/>
  <c r="Q89" i="4"/>
  <c r="T89" i="4"/>
  <c r="Q90" i="4"/>
  <c r="Q91" i="4"/>
  <c r="Q92" i="4"/>
  <c r="Q93" i="4"/>
  <c r="Q94" i="4"/>
  <c r="Q95" i="4"/>
  <c r="Q96" i="4"/>
  <c r="Q97" i="4"/>
  <c r="Q98" i="4"/>
  <c r="Q99" i="4"/>
  <c r="Q100" i="4"/>
  <c r="T100" i="4"/>
  <c r="Q101" i="4"/>
  <c r="P101" i="4"/>
  <c r="Q102" i="4"/>
  <c r="Q103" i="4"/>
  <c r="Q104" i="4"/>
  <c r="Q105" i="4"/>
  <c r="Q106" i="4"/>
  <c r="Q107" i="4"/>
  <c r="Q108" i="4"/>
  <c r="Q109" i="4"/>
  <c r="Q110" i="4"/>
  <c r="Q111" i="4"/>
  <c r="Q112" i="4"/>
  <c r="P112" i="4"/>
  <c r="Q113" i="4"/>
  <c r="T113" i="4"/>
  <c r="Q114" i="4"/>
  <c r="Q115" i="4"/>
  <c r="Q116" i="4"/>
  <c r="Q117" i="4"/>
  <c r="Q118" i="4"/>
  <c r="Q119" i="4"/>
  <c r="Q120" i="4"/>
  <c r="Q121" i="4"/>
  <c r="Q122" i="4"/>
  <c r="Q123" i="4"/>
  <c r="Q124" i="4"/>
  <c r="T124" i="4"/>
  <c r="Q125" i="4"/>
  <c r="P125" i="4"/>
  <c r="Q126" i="4"/>
  <c r="Q127" i="4"/>
  <c r="Q128" i="4"/>
  <c r="Q129" i="4"/>
  <c r="Q130" i="4"/>
  <c r="Q131" i="4"/>
  <c r="Q132" i="4"/>
  <c r="Q133" i="4"/>
  <c r="Q134" i="4"/>
  <c r="Q135" i="4"/>
  <c r="Q136" i="4"/>
  <c r="T136" i="4"/>
  <c r="Q137" i="4"/>
  <c r="P137" i="4"/>
  <c r="Q138" i="4"/>
  <c r="Q139" i="4"/>
  <c r="Q140" i="4"/>
  <c r="Q141" i="4"/>
  <c r="Q142" i="4"/>
  <c r="Q143" i="4"/>
  <c r="Q144" i="4"/>
  <c r="Q145" i="4"/>
  <c r="Q146" i="4"/>
  <c r="Q147" i="4"/>
  <c r="Q148" i="4"/>
  <c r="T148" i="4"/>
  <c r="Q149" i="4"/>
  <c r="P149" i="4"/>
  <c r="Q150" i="4"/>
  <c r="Q151" i="4"/>
  <c r="Q152" i="4"/>
  <c r="Q153" i="4"/>
  <c r="Q154" i="4"/>
  <c r="Q155" i="4"/>
  <c r="Q156" i="4"/>
  <c r="Q157" i="4"/>
  <c r="Q158" i="4"/>
  <c r="Q159" i="4"/>
  <c r="Q160" i="4"/>
  <c r="T160" i="4"/>
  <c r="Q161" i="4"/>
  <c r="P161" i="4"/>
  <c r="Q162" i="4"/>
  <c r="Q163" i="4"/>
  <c r="Q164" i="4"/>
  <c r="Q165" i="4"/>
  <c r="Q166" i="4"/>
  <c r="Q167" i="4"/>
  <c r="Q168" i="4"/>
  <c r="Q169" i="4"/>
  <c r="Q170" i="4"/>
  <c r="Q171" i="4"/>
  <c r="Q172" i="4"/>
  <c r="P172" i="4"/>
  <c r="Q173" i="4"/>
  <c r="P173" i="4"/>
  <c r="Q174" i="4"/>
  <c r="Q175" i="4"/>
  <c r="Q176" i="4"/>
  <c r="Q177" i="4"/>
  <c r="Q178" i="4"/>
  <c r="Q179" i="4"/>
  <c r="Q180" i="4"/>
  <c r="Q181" i="4"/>
  <c r="Q182" i="4"/>
  <c r="Q183" i="4"/>
  <c r="Q184" i="4"/>
  <c r="T184" i="4"/>
  <c r="Q185" i="4"/>
  <c r="P185" i="4"/>
  <c r="Q186" i="4"/>
  <c r="Q187" i="4"/>
  <c r="Q188" i="4"/>
  <c r="Q189" i="4"/>
  <c r="Q190" i="4"/>
  <c r="Q191" i="4"/>
  <c r="Q192" i="4"/>
  <c r="Q193" i="4"/>
  <c r="Q194" i="4"/>
  <c r="Q195" i="4"/>
  <c r="Q196" i="4"/>
  <c r="P196" i="4"/>
  <c r="Q197" i="4"/>
  <c r="P197" i="4"/>
  <c r="Q198" i="4"/>
  <c r="Q199" i="4"/>
  <c r="Q200" i="4"/>
  <c r="Q201" i="4"/>
  <c r="Q202" i="4"/>
  <c r="Q203" i="4"/>
  <c r="Q204" i="4"/>
  <c r="Q205" i="4"/>
  <c r="Q206" i="4"/>
  <c r="Q207" i="4"/>
  <c r="Q208" i="4"/>
  <c r="T208" i="4"/>
  <c r="Q209" i="4"/>
  <c r="P209" i="4"/>
  <c r="Q210" i="4"/>
  <c r="Q211" i="4"/>
  <c r="Q212" i="4"/>
  <c r="Q213" i="4"/>
  <c r="Q214" i="4"/>
  <c r="Q215" i="4"/>
  <c r="Q216" i="4"/>
  <c r="Q217" i="4"/>
  <c r="Q218" i="4"/>
  <c r="Q219" i="4"/>
  <c r="Q220" i="4"/>
  <c r="T220" i="4"/>
  <c r="Q221" i="4"/>
  <c r="P221" i="4"/>
  <c r="Q222" i="4"/>
  <c r="Q223" i="4"/>
  <c r="Q224" i="4"/>
  <c r="Q225" i="4"/>
  <c r="Q226" i="4"/>
  <c r="Q227" i="4"/>
  <c r="Q228" i="4"/>
  <c r="Q229" i="4"/>
  <c r="Q230" i="4"/>
  <c r="Q231" i="4"/>
  <c r="Q232" i="4"/>
  <c r="T232" i="4"/>
  <c r="Q233" i="4"/>
  <c r="P233" i="4"/>
  <c r="Q234" i="4"/>
  <c r="Q235" i="4"/>
  <c r="Q236" i="4"/>
  <c r="Q237" i="4"/>
  <c r="Q238" i="4"/>
  <c r="Q239" i="4"/>
  <c r="Q240" i="4"/>
  <c r="Q241" i="4"/>
  <c r="Q242" i="4"/>
  <c r="Q243" i="4"/>
  <c r="Q244" i="4"/>
  <c r="T244" i="4"/>
  <c r="Q245" i="4"/>
  <c r="P245" i="4"/>
  <c r="Q246" i="4"/>
  <c r="Q247" i="4"/>
  <c r="Q248" i="4"/>
  <c r="Q249" i="4"/>
  <c r="Q250" i="4"/>
  <c r="Q251" i="4"/>
  <c r="Q252" i="4"/>
  <c r="Q253" i="4"/>
  <c r="Q254" i="4"/>
  <c r="Q255" i="4"/>
  <c r="Q256" i="4"/>
  <c r="T256" i="4"/>
  <c r="Q257" i="4"/>
  <c r="P257" i="4"/>
  <c r="Q258" i="4"/>
  <c r="Q259" i="4"/>
  <c r="Q260" i="4"/>
  <c r="Q261" i="4"/>
  <c r="Q262" i="4"/>
  <c r="Q263" i="4"/>
  <c r="Q264" i="4"/>
  <c r="Q265" i="4"/>
  <c r="Q266" i="4"/>
  <c r="Q267" i="4"/>
  <c r="Q268" i="4"/>
  <c r="T268" i="4"/>
  <c r="Q269" i="4"/>
  <c r="P269" i="4"/>
  <c r="Q270" i="4"/>
  <c r="Q271" i="4"/>
  <c r="Q272" i="4"/>
  <c r="Q273" i="4"/>
  <c r="Q274" i="4"/>
  <c r="Q275" i="4"/>
  <c r="Q276" i="4"/>
  <c r="Q277" i="4"/>
  <c r="Q278" i="4"/>
  <c r="Q279" i="4"/>
  <c r="Q280" i="4"/>
  <c r="T280" i="4"/>
  <c r="Q281" i="4"/>
  <c r="P281" i="4"/>
  <c r="Q282" i="4"/>
  <c r="Q283" i="4"/>
  <c r="Q284" i="4"/>
  <c r="Q285" i="4"/>
  <c r="Q286" i="4"/>
  <c r="Q287" i="4"/>
  <c r="Q288" i="4"/>
  <c r="Q289" i="4"/>
  <c r="Q290" i="4"/>
  <c r="Q291" i="4"/>
  <c r="Q292" i="4"/>
  <c r="P292" i="4"/>
  <c r="Q293" i="4"/>
  <c r="P293" i="4"/>
  <c r="Q294" i="4"/>
  <c r="Q295" i="4"/>
  <c r="Q296" i="4"/>
  <c r="Q297" i="4"/>
  <c r="Q298" i="4"/>
  <c r="Q299" i="4"/>
  <c r="Q300" i="4"/>
  <c r="Q301" i="4"/>
  <c r="Q302" i="4"/>
  <c r="Q303" i="4"/>
  <c r="Q304" i="4"/>
  <c r="P304" i="4"/>
  <c r="Q305" i="4"/>
  <c r="P305" i="4"/>
  <c r="Q306" i="4"/>
  <c r="Q307" i="4"/>
  <c r="Q308" i="4"/>
  <c r="Q309" i="4"/>
  <c r="Q310" i="4"/>
  <c r="Q311" i="4"/>
  <c r="Q312" i="4"/>
  <c r="Q313" i="4"/>
  <c r="Q314" i="4"/>
  <c r="Q315" i="4"/>
  <c r="Q316" i="4"/>
  <c r="T316" i="4"/>
  <c r="Q317" i="4"/>
  <c r="P317" i="4"/>
  <c r="Q318" i="4"/>
  <c r="Q319" i="4"/>
  <c r="Q320" i="4"/>
  <c r="Q321" i="4"/>
  <c r="Q322" i="4"/>
  <c r="Q323" i="4"/>
  <c r="Q324" i="4"/>
  <c r="Q325" i="4"/>
  <c r="Q326" i="4"/>
  <c r="Q327" i="4"/>
  <c r="Q328" i="4"/>
  <c r="T328" i="4"/>
  <c r="Q329" i="4"/>
  <c r="P329" i="4"/>
  <c r="Q330" i="4"/>
  <c r="Q331" i="4"/>
  <c r="Q332" i="4"/>
  <c r="Q333" i="4"/>
  <c r="Q334" i="4"/>
  <c r="Q335" i="4"/>
  <c r="Q336" i="4"/>
  <c r="Q337" i="4"/>
  <c r="Q338" i="4"/>
  <c r="Q339" i="4"/>
  <c r="Q340" i="4"/>
  <c r="T340" i="4"/>
  <c r="Q341" i="4"/>
  <c r="P341" i="4"/>
  <c r="Q342" i="4"/>
  <c r="Q343" i="4"/>
  <c r="Q344" i="4"/>
  <c r="Q345" i="4"/>
  <c r="Q346" i="4"/>
  <c r="Q347" i="4"/>
  <c r="Q348" i="4"/>
  <c r="Q349" i="4"/>
  <c r="Q350" i="4"/>
  <c r="Q351" i="4"/>
  <c r="Q352" i="4"/>
  <c r="T352" i="4"/>
  <c r="Q353" i="4"/>
  <c r="P353" i="4"/>
  <c r="Q354" i="4"/>
  <c r="Q355" i="4"/>
  <c r="Q356" i="4"/>
  <c r="Q357" i="4"/>
  <c r="Q358" i="4"/>
  <c r="Q359" i="4"/>
  <c r="Q360" i="4"/>
  <c r="Q361" i="4"/>
  <c r="Q362" i="4"/>
  <c r="Q363" i="4"/>
  <c r="Q364" i="4"/>
  <c r="T364" i="4"/>
  <c r="Q365" i="4"/>
  <c r="P365" i="4"/>
  <c r="Q366" i="4"/>
  <c r="Q367" i="4"/>
  <c r="Q368" i="4"/>
  <c r="Q369" i="4"/>
  <c r="Q370" i="4"/>
  <c r="Q371" i="4"/>
  <c r="Q372" i="4"/>
  <c r="Q373" i="4"/>
  <c r="Q374" i="4"/>
  <c r="Q375" i="4"/>
  <c r="Q376" i="4"/>
  <c r="T376" i="4"/>
  <c r="Q377" i="4"/>
  <c r="P377" i="4"/>
  <c r="Q378" i="4"/>
  <c r="P378" i="4"/>
  <c r="Q379" i="4"/>
  <c r="Q380" i="4"/>
  <c r="Q30" i="4"/>
  <c r="P105" i="4"/>
  <c r="P107" i="4"/>
  <c r="P108" i="4"/>
  <c r="P119" i="4"/>
  <c r="P120" i="4"/>
  <c r="P121" i="4"/>
  <c r="P122" i="4"/>
  <c r="P123" i="4"/>
  <c r="P126" i="4"/>
  <c r="P127" i="4"/>
  <c r="P128" i="4"/>
  <c r="P129" i="4"/>
  <c r="P130" i="4"/>
  <c r="P131" i="4"/>
  <c r="P132" i="4"/>
  <c r="P133" i="4"/>
  <c r="P134" i="4"/>
  <c r="P135" i="4"/>
  <c r="P138" i="4"/>
  <c r="P139" i="4"/>
  <c r="P140" i="4"/>
  <c r="P141" i="4"/>
  <c r="P142" i="4"/>
  <c r="P143" i="4"/>
  <c r="P144" i="4"/>
  <c r="P145" i="4"/>
  <c r="P146" i="4"/>
  <c r="P147" i="4"/>
  <c r="P150" i="4"/>
  <c r="P151" i="4"/>
  <c r="P152" i="4"/>
  <c r="P153" i="4"/>
  <c r="P154" i="4"/>
  <c r="P155" i="4"/>
  <c r="P156" i="4"/>
  <c r="P157" i="4"/>
  <c r="P158" i="4"/>
  <c r="P159" i="4"/>
  <c r="P162" i="4"/>
  <c r="P163" i="4"/>
  <c r="P164" i="4"/>
  <c r="P165" i="4"/>
  <c r="P166" i="4"/>
  <c r="P167" i="4"/>
  <c r="P168" i="4"/>
  <c r="P169" i="4"/>
  <c r="P170" i="4"/>
  <c r="P171" i="4"/>
  <c r="P174" i="4"/>
  <c r="P175" i="4"/>
  <c r="P176" i="4"/>
  <c r="P177" i="4"/>
  <c r="P178" i="4"/>
  <c r="P179" i="4"/>
  <c r="P180" i="4"/>
  <c r="P181" i="4"/>
  <c r="P182" i="4"/>
  <c r="P183" i="4"/>
  <c r="P186" i="4"/>
  <c r="P187" i="4"/>
  <c r="P188" i="4"/>
  <c r="P189" i="4"/>
  <c r="P190" i="4"/>
  <c r="P191" i="4"/>
  <c r="P192" i="4"/>
  <c r="P193" i="4"/>
  <c r="P194" i="4"/>
  <c r="P195" i="4"/>
  <c r="P198" i="4"/>
  <c r="P199" i="4"/>
  <c r="P200" i="4"/>
  <c r="P201" i="4"/>
  <c r="P202" i="4"/>
  <c r="P203" i="4"/>
  <c r="P204" i="4"/>
  <c r="P205" i="4"/>
  <c r="P206" i="4"/>
  <c r="P207" i="4"/>
  <c r="P210" i="4"/>
  <c r="P211" i="4"/>
  <c r="P212" i="4"/>
  <c r="P213" i="4"/>
  <c r="P214" i="4"/>
  <c r="P215" i="4"/>
  <c r="P216" i="4"/>
  <c r="P217" i="4"/>
  <c r="P218" i="4"/>
  <c r="P219" i="4"/>
  <c r="P222" i="4"/>
  <c r="P223" i="4"/>
  <c r="P224" i="4"/>
  <c r="P225" i="4"/>
  <c r="P226" i="4"/>
  <c r="P227" i="4"/>
  <c r="P228" i="4"/>
  <c r="P229" i="4"/>
  <c r="P230" i="4"/>
  <c r="P231" i="4"/>
  <c r="P234" i="4"/>
  <c r="P235" i="4"/>
  <c r="P236" i="4"/>
  <c r="P237" i="4"/>
  <c r="P238" i="4"/>
  <c r="P239" i="4"/>
  <c r="P240" i="4"/>
  <c r="P241" i="4"/>
  <c r="P242" i="4"/>
  <c r="P243" i="4"/>
  <c r="P246" i="4"/>
  <c r="P247" i="4"/>
  <c r="P248" i="4"/>
  <c r="P249" i="4"/>
  <c r="P250" i="4"/>
  <c r="P251" i="4"/>
  <c r="P252" i="4"/>
  <c r="P253" i="4"/>
  <c r="P254" i="4"/>
  <c r="P255" i="4"/>
  <c r="P258" i="4"/>
  <c r="P259" i="4"/>
  <c r="P260" i="4"/>
  <c r="P261" i="4"/>
  <c r="P262" i="4"/>
  <c r="P263" i="4"/>
  <c r="P264" i="4"/>
  <c r="P265" i="4"/>
  <c r="P266" i="4"/>
  <c r="P267" i="4"/>
  <c r="P270" i="4"/>
  <c r="P271" i="4"/>
  <c r="P272" i="4"/>
  <c r="P273" i="4"/>
  <c r="P274" i="4"/>
  <c r="P275" i="4"/>
  <c r="P276" i="4"/>
  <c r="P277" i="4"/>
  <c r="P278" i="4"/>
  <c r="P279" i="4"/>
  <c r="P282" i="4"/>
  <c r="P283" i="4"/>
  <c r="P284" i="4"/>
  <c r="P285" i="4"/>
  <c r="P286" i="4"/>
  <c r="P287" i="4"/>
  <c r="P288" i="4"/>
  <c r="P289" i="4"/>
  <c r="P290" i="4"/>
  <c r="P291" i="4"/>
  <c r="P294" i="4"/>
  <c r="P295" i="4"/>
  <c r="P296" i="4"/>
  <c r="P297" i="4"/>
  <c r="P298" i="4"/>
  <c r="P299" i="4"/>
  <c r="P300" i="4"/>
  <c r="P301" i="4"/>
  <c r="P302" i="4"/>
  <c r="P303" i="4"/>
  <c r="P306" i="4"/>
  <c r="P307" i="4"/>
  <c r="P308" i="4"/>
  <c r="P309" i="4"/>
  <c r="P310" i="4"/>
  <c r="P311" i="4"/>
  <c r="P312" i="4"/>
  <c r="P313" i="4"/>
  <c r="P314" i="4"/>
  <c r="P315" i="4"/>
  <c r="P318" i="4"/>
  <c r="P319" i="4"/>
  <c r="P320" i="4"/>
  <c r="P321" i="4"/>
  <c r="P322" i="4"/>
  <c r="P323" i="4"/>
  <c r="P324" i="4"/>
  <c r="P325" i="4"/>
  <c r="P326" i="4"/>
  <c r="P327" i="4"/>
  <c r="P330" i="4"/>
  <c r="P331" i="4"/>
  <c r="P332" i="4"/>
  <c r="P333" i="4"/>
  <c r="P334" i="4"/>
  <c r="P335" i="4"/>
  <c r="P336" i="4"/>
  <c r="P337" i="4"/>
  <c r="P338" i="4"/>
  <c r="P339" i="4"/>
  <c r="P342" i="4"/>
  <c r="P343" i="4"/>
  <c r="P344" i="4"/>
  <c r="P345" i="4"/>
  <c r="P346" i="4"/>
  <c r="P347" i="4"/>
  <c r="P348" i="4"/>
  <c r="P349" i="4"/>
  <c r="P350" i="4"/>
  <c r="P351" i="4"/>
  <c r="P354" i="4"/>
  <c r="P355" i="4"/>
  <c r="P356" i="4"/>
  <c r="P357" i="4"/>
  <c r="P358" i="4"/>
  <c r="P359" i="4"/>
  <c r="P360" i="4"/>
  <c r="P361" i="4"/>
  <c r="P362" i="4"/>
  <c r="P363" i="4"/>
  <c r="P366" i="4"/>
  <c r="P367" i="4"/>
  <c r="P368" i="4"/>
  <c r="P369" i="4"/>
  <c r="P370" i="4"/>
  <c r="P371" i="4"/>
  <c r="P372" i="4"/>
  <c r="P373" i="4"/>
  <c r="P374" i="4"/>
  <c r="P375" i="4"/>
  <c r="P379" i="4"/>
  <c r="P380" i="4"/>
  <c r="P97" i="4"/>
  <c r="P98" i="4"/>
  <c r="P99" i="4"/>
  <c r="P102" i="4"/>
  <c r="P103" i="4"/>
  <c r="P104" i="4"/>
  <c r="P106" i="4"/>
  <c r="P109" i="4"/>
  <c r="P110" i="4"/>
  <c r="P111" i="4"/>
  <c r="P114" i="4"/>
  <c r="P115" i="4"/>
  <c r="P116" i="4"/>
  <c r="P117" i="4"/>
  <c r="T118" i="4"/>
  <c r="T119" i="4"/>
  <c r="T120" i="4"/>
  <c r="T201" i="4"/>
  <c r="T225" i="4"/>
  <c r="T249" i="4"/>
  <c r="T261" i="4"/>
  <c r="T273" i="4"/>
  <c r="T285" i="4"/>
  <c r="T309" i="4"/>
  <c r="T323" i="4"/>
  <c r="T324" i="4"/>
  <c r="T333" i="4"/>
  <c r="T357" i="4"/>
  <c r="T367" i="4"/>
  <c r="T369"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I97" i="4"/>
  <c r="I98" i="4"/>
  <c r="I99" i="4"/>
  <c r="I100" i="4"/>
  <c r="I101" i="4"/>
  <c r="I102" i="4"/>
  <c r="I103" i="4"/>
  <c r="I104" i="4"/>
  <c r="I105" i="4"/>
  <c r="I106" i="4"/>
  <c r="I107" i="4"/>
  <c r="M107" i="4"/>
  <c r="I108" i="4"/>
  <c r="I109" i="4"/>
  <c r="I110" i="4"/>
  <c r="I111" i="4"/>
  <c r="I112" i="4"/>
  <c r="I113" i="4"/>
  <c r="I114" i="4"/>
  <c r="I115" i="4"/>
  <c r="I116" i="4"/>
  <c r="I117" i="4"/>
  <c r="I118" i="4"/>
  <c r="I119" i="4"/>
  <c r="M119" i="4"/>
  <c r="I120" i="4"/>
  <c r="I121" i="4"/>
  <c r="I122" i="4"/>
  <c r="I123" i="4"/>
  <c r="I124" i="4"/>
  <c r="I125" i="4"/>
  <c r="I126" i="4"/>
  <c r="I127" i="4"/>
  <c r="I128" i="4"/>
  <c r="I129" i="4"/>
  <c r="I130" i="4"/>
  <c r="I131" i="4"/>
  <c r="M131" i="4"/>
  <c r="I132" i="4"/>
  <c r="I133" i="4"/>
  <c r="I134" i="4"/>
  <c r="I135" i="4"/>
  <c r="I136" i="4"/>
  <c r="I137" i="4"/>
  <c r="I138" i="4"/>
  <c r="I139" i="4"/>
  <c r="I140" i="4"/>
  <c r="I141" i="4"/>
  <c r="I142" i="4"/>
  <c r="I143" i="4"/>
  <c r="M143" i="4"/>
  <c r="I144" i="4"/>
  <c r="I145" i="4"/>
  <c r="I146" i="4"/>
  <c r="I147" i="4"/>
  <c r="I148" i="4"/>
  <c r="I149" i="4"/>
  <c r="I150" i="4"/>
  <c r="I151" i="4"/>
  <c r="I152" i="4"/>
  <c r="I153" i="4"/>
  <c r="I154" i="4"/>
  <c r="I155" i="4"/>
  <c r="M155" i="4"/>
  <c r="I156" i="4"/>
  <c r="I157" i="4"/>
  <c r="I158" i="4"/>
  <c r="I159" i="4"/>
  <c r="I160" i="4"/>
  <c r="I161" i="4"/>
  <c r="I162" i="4"/>
  <c r="I163" i="4"/>
  <c r="I164" i="4"/>
  <c r="I165" i="4"/>
  <c r="I166" i="4"/>
  <c r="I167" i="4"/>
  <c r="M167" i="4"/>
  <c r="I168" i="4"/>
  <c r="I169" i="4"/>
  <c r="I170" i="4"/>
  <c r="I171" i="4"/>
  <c r="I172" i="4"/>
  <c r="I173" i="4"/>
  <c r="I174" i="4"/>
  <c r="I175" i="4"/>
  <c r="I176" i="4"/>
  <c r="I177" i="4"/>
  <c r="I178" i="4"/>
  <c r="I179" i="4"/>
  <c r="M179" i="4"/>
  <c r="I180" i="4"/>
  <c r="I181" i="4"/>
  <c r="I182" i="4"/>
  <c r="I183" i="4"/>
  <c r="I184" i="4"/>
  <c r="I185" i="4"/>
  <c r="I186" i="4"/>
  <c r="I187" i="4"/>
  <c r="I188" i="4"/>
  <c r="I189" i="4"/>
  <c r="I190" i="4"/>
  <c r="I191" i="4"/>
  <c r="M191" i="4"/>
  <c r="I192" i="4"/>
  <c r="I193" i="4"/>
  <c r="I194" i="4"/>
  <c r="I195" i="4"/>
  <c r="I196" i="4"/>
  <c r="I197" i="4"/>
  <c r="I198" i="4"/>
  <c r="I199" i="4"/>
  <c r="I200" i="4"/>
  <c r="I201" i="4"/>
  <c r="I202" i="4"/>
  <c r="I203" i="4"/>
  <c r="M203" i="4"/>
  <c r="I204" i="4"/>
  <c r="I205" i="4"/>
  <c r="I206" i="4"/>
  <c r="I207" i="4"/>
  <c r="I208" i="4"/>
  <c r="I209" i="4"/>
  <c r="I210" i="4"/>
  <c r="I211" i="4"/>
  <c r="I212" i="4"/>
  <c r="I213" i="4"/>
  <c r="I214" i="4"/>
  <c r="I215" i="4"/>
  <c r="M215" i="4"/>
  <c r="I216" i="4"/>
  <c r="I217" i="4"/>
  <c r="I218" i="4"/>
  <c r="I219" i="4"/>
  <c r="I220" i="4"/>
  <c r="I221" i="4"/>
  <c r="I222" i="4"/>
  <c r="I223" i="4"/>
  <c r="I224" i="4"/>
  <c r="I225" i="4"/>
  <c r="I226" i="4"/>
  <c r="I227" i="4"/>
  <c r="M227" i="4"/>
  <c r="I228" i="4"/>
  <c r="I229" i="4"/>
  <c r="I230" i="4"/>
  <c r="I231" i="4"/>
  <c r="I232" i="4"/>
  <c r="I233" i="4"/>
  <c r="I234" i="4"/>
  <c r="I235" i="4"/>
  <c r="I236" i="4"/>
  <c r="I237" i="4"/>
  <c r="I238" i="4"/>
  <c r="I239" i="4"/>
  <c r="M239" i="4"/>
  <c r="I240" i="4"/>
  <c r="I241" i="4"/>
  <c r="I242" i="4"/>
  <c r="I243" i="4"/>
  <c r="I244" i="4"/>
  <c r="I245" i="4"/>
  <c r="I246" i="4"/>
  <c r="I247" i="4"/>
  <c r="I248" i="4"/>
  <c r="I249" i="4"/>
  <c r="I250" i="4"/>
  <c r="I251" i="4"/>
  <c r="M251" i="4"/>
  <c r="I252" i="4"/>
  <c r="I253" i="4"/>
  <c r="I254" i="4"/>
  <c r="I255" i="4"/>
  <c r="I256" i="4"/>
  <c r="I257" i="4"/>
  <c r="I258" i="4"/>
  <c r="I259" i="4"/>
  <c r="I260" i="4"/>
  <c r="I261" i="4"/>
  <c r="I262" i="4"/>
  <c r="I263" i="4"/>
  <c r="M263" i="4"/>
  <c r="I264" i="4"/>
  <c r="I265" i="4"/>
  <c r="I266" i="4"/>
  <c r="I267" i="4"/>
  <c r="I268" i="4"/>
  <c r="I269" i="4"/>
  <c r="I270" i="4"/>
  <c r="I271" i="4"/>
  <c r="I272" i="4"/>
  <c r="I273" i="4"/>
  <c r="I274" i="4"/>
  <c r="I275" i="4"/>
  <c r="M275" i="4"/>
  <c r="I276" i="4"/>
  <c r="I277" i="4"/>
  <c r="I278" i="4"/>
  <c r="I279" i="4"/>
  <c r="I280" i="4"/>
  <c r="I281" i="4"/>
  <c r="I282" i="4"/>
  <c r="I283" i="4"/>
  <c r="I284" i="4"/>
  <c r="I285" i="4"/>
  <c r="I286" i="4"/>
  <c r="I287" i="4"/>
  <c r="M287" i="4"/>
  <c r="I288" i="4"/>
  <c r="I289" i="4"/>
  <c r="I290" i="4"/>
  <c r="I291" i="4"/>
  <c r="I292" i="4"/>
  <c r="I293" i="4"/>
  <c r="I294" i="4"/>
  <c r="I295" i="4"/>
  <c r="I296" i="4"/>
  <c r="I297" i="4"/>
  <c r="I298" i="4"/>
  <c r="I299" i="4"/>
  <c r="M299" i="4"/>
  <c r="I300" i="4"/>
  <c r="I301" i="4"/>
  <c r="I302" i="4"/>
  <c r="I303" i="4"/>
  <c r="I304" i="4"/>
  <c r="I305" i="4"/>
  <c r="I306" i="4"/>
  <c r="I307" i="4"/>
  <c r="I308" i="4"/>
  <c r="I309" i="4"/>
  <c r="I310" i="4"/>
  <c r="I311" i="4"/>
  <c r="M311" i="4"/>
  <c r="I312" i="4"/>
  <c r="I313" i="4"/>
  <c r="I314" i="4"/>
  <c r="I315" i="4"/>
  <c r="I316" i="4"/>
  <c r="I317" i="4"/>
  <c r="I318" i="4"/>
  <c r="I319" i="4"/>
  <c r="I320" i="4"/>
  <c r="I321" i="4"/>
  <c r="I322" i="4"/>
  <c r="I323" i="4"/>
  <c r="M323" i="4"/>
  <c r="I324" i="4"/>
  <c r="I325" i="4"/>
  <c r="I326" i="4"/>
  <c r="I327" i="4"/>
  <c r="I328" i="4"/>
  <c r="I329" i="4"/>
  <c r="I330" i="4"/>
  <c r="I331" i="4"/>
  <c r="I332" i="4"/>
  <c r="I333" i="4"/>
  <c r="I334" i="4"/>
  <c r="I335" i="4"/>
  <c r="M335" i="4"/>
  <c r="I336" i="4"/>
  <c r="I337" i="4"/>
  <c r="I338" i="4"/>
  <c r="I339" i="4"/>
  <c r="I340" i="4"/>
  <c r="I341" i="4"/>
  <c r="I342" i="4"/>
  <c r="I343" i="4"/>
  <c r="I344" i="4"/>
  <c r="I345" i="4"/>
  <c r="I346" i="4"/>
  <c r="I347" i="4"/>
  <c r="M347" i="4"/>
  <c r="I348" i="4"/>
  <c r="I349" i="4"/>
  <c r="I350" i="4"/>
  <c r="I351" i="4"/>
  <c r="I352" i="4"/>
  <c r="I353" i="4"/>
  <c r="I354" i="4"/>
  <c r="I355" i="4"/>
  <c r="I356" i="4"/>
  <c r="I357" i="4"/>
  <c r="I358" i="4"/>
  <c r="I359" i="4"/>
  <c r="M359" i="4"/>
  <c r="I360" i="4"/>
  <c r="I361" i="4"/>
  <c r="I362" i="4"/>
  <c r="I363" i="4"/>
  <c r="I364" i="4"/>
  <c r="I365" i="4"/>
  <c r="I366" i="4"/>
  <c r="I367" i="4"/>
  <c r="I368" i="4"/>
  <c r="I369" i="4"/>
  <c r="I370" i="4"/>
  <c r="I371" i="4"/>
  <c r="M371" i="4"/>
  <c r="I372" i="4"/>
  <c r="I373" i="4"/>
  <c r="I374" i="4"/>
  <c r="I375" i="4"/>
  <c r="I376" i="4"/>
  <c r="I377" i="4"/>
  <c r="I378" i="4"/>
  <c r="I379" i="4"/>
  <c r="I380" i="4"/>
  <c r="R97" i="4"/>
  <c r="R98" i="4"/>
  <c r="R99" i="4"/>
  <c r="U99" i="4"/>
  <c r="R100" i="4"/>
  <c r="U100" i="4"/>
  <c r="R101" i="4"/>
  <c r="R102" i="4"/>
  <c r="R103" i="4"/>
  <c r="R104" i="4"/>
  <c r="R105" i="4"/>
  <c r="R106" i="4"/>
  <c r="R107" i="4"/>
  <c r="U107" i="4"/>
  <c r="R108" i="4"/>
  <c r="U108" i="4"/>
  <c r="R109" i="4"/>
  <c r="U109" i="4"/>
  <c r="R110" i="4"/>
  <c r="R111" i="4"/>
  <c r="U111" i="4"/>
  <c r="R112" i="4"/>
  <c r="R113" i="4"/>
  <c r="R114" i="4"/>
  <c r="R115" i="4"/>
  <c r="U115" i="4"/>
  <c r="R116" i="4"/>
  <c r="R117" i="4"/>
  <c r="U117" i="4"/>
  <c r="R118" i="4"/>
  <c r="U118" i="4"/>
  <c r="R119" i="4"/>
  <c r="U119" i="4"/>
  <c r="R120" i="4"/>
  <c r="U120" i="4"/>
  <c r="R121" i="4"/>
  <c r="R122" i="4"/>
  <c r="R123" i="4"/>
  <c r="R124" i="4"/>
  <c r="R125" i="4"/>
  <c r="R126" i="4"/>
  <c r="R127" i="4"/>
  <c r="R128" i="4"/>
  <c r="R129" i="4"/>
  <c r="R130" i="4"/>
  <c r="R131" i="4"/>
  <c r="U131" i="4"/>
  <c r="R132" i="4"/>
  <c r="U132" i="4"/>
  <c r="R133" i="4"/>
  <c r="R134" i="4"/>
  <c r="R135" i="4"/>
  <c r="R136" i="4"/>
  <c r="R137" i="4"/>
  <c r="R138" i="4"/>
  <c r="R139" i="4"/>
  <c r="R140" i="4"/>
  <c r="R141" i="4"/>
  <c r="R142" i="4"/>
  <c r="R143" i="4"/>
  <c r="U143" i="4"/>
  <c r="R144" i="4"/>
  <c r="U144" i="4"/>
  <c r="R145" i="4"/>
  <c r="R146" i="4"/>
  <c r="R147" i="4"/>
  <c r="R148" i="4"/>
  <c r="R149" i="4"/>
  <c r="R150" i="4"/>
  <c r="R151" i="4"/>
  <c r="R152" i="4"/>
  <c r="R153" i="4"/>
  <c r="R154" i="4"/>
  <c r="R155" i="4"/>
  <c r="U155" i="4"/>
  <c r="R156" i="4"/>
  <c r="U156" i="4"/>
  <c r="R157" i="4"/>
  <c r="R158" i="4"/>
  <c r="R159" i="4"/>
  <c r="R160" i="4"/>
  <c r="R161" i="4"/>
  <c r="R162" i="4"/>
  <c r="R163" i="4"/>
  <c r="R164" i="4"/>
  <c r="R165" i="4"/>
  <c r="R166" i="4"/>
  <c r="R167" i="4"/>
  <c r="U167" i="4"/>
  <c r="R168" i="4"/>
  <c r="T168" i="4"/>
  <c r="R169" i="4"/>
  <c r="R170" i="4"/>
  <c r="R171" i="4"/>
  <c r="R172" i="4"/>
  <c r="R173" i="4"/>
  <c r="R174" i="4"/>
  <c r="R175" i="4"/>
  <c r="R176" i="4"/>
  <c r="R177" i="4"/>
  <c r="R178" i="4"/>
  <c r="R179" i="4"/>
  <c r="U179" i="4"/>
  <c r="R180" i="4"/>
  <c r="U180" i="4"/>
  <c r="R181" i="4"/>
  <c r="R182" i="4"/>
  <c r="R183" i="4"/>
  <c r="R184" i="4"/>
  <c r="R185" i="4"/>
  <c r="R186" i="4"/>
  <c r="R187" i="4"/>
  <c r="R188" i="4"/>
  <c r="R189" i="4"/>
  <c r="R190" i="4"/>
  <c r="R191" i="4"/>
  <c r="U191" i="4"/>
  <c r="R192" i="4"/>
  <c r="U192" i="4"/>
  <c r="R193" i="4"/>
  <c r="R194" i="4"/>
  <c r="R195" i="4"/>
  <c r="R196" i="4"/>
  <c r="R197" i="4"/>
  <c r="R198" i="4"/>
  <c r="R199" i="4"/>
  <c r="R200" i="4"/>
  <c r="R201" i="4"/>
  <c r="R202" i="4"/>
  <c r="R203" i="4"/>
  <c r="U203" i="4"/>
  <c r="R204" i="4"/>
  <c r="U204" i="4"/>
  <c r="R205" i="4"/>
  <c r="R206" i="4"/>
  <c r="R207" i="4"/>
  <c r="R208" i="4"/>
  <c r="R209" i="4"/>
  <c r="R210" i="4"/>
  <c r="R211" i="4"/>
  <c r="R212" i="4"/>
  <c r="R213" i="4"/>
  <c r="R214" i="4"/>
  <c r="R215" i="4"/>
  <c r="U215" i="4"/>
  <c r="R216" i="4"/>
  <c r="R217" i="4"/>
  <c r="R218" i="4"/>
  <c r="R219" i="4"/>
  <c r="R220" i="4"/>
  <c r="R221" i="4"/>
  <c r="R222" i="4"/>
  <c r="R223" i="4"/>
  <c r="R224" i="4"/>
  <c r="R225" i="4"/>
  <c r="R226" i="4"/>
  <c r="R227" i="4"/>
  <c r="U227" i="4"/>
  <c r="R228" i="4"/>
  <c r="U228" i="4"/>
  <c r="R229" i="4"/>
  <c r="R230" i="4"/>
  <c r="R231" i="4"/>
  <c r="R232" i="4"/>
  <c r="R233" i="4"/>
  <c r="R234" i="4"/>
  <c r="R235" i="4"/>
  <c r="R236" i="4"/>
  <c r="R237" i="4"/>
  <c r="R238" i="4"/>
  <c r="R239" i="4"/>
  <c r="U239" i="4"/>
  <c r="R240" i="4"/>
  <c r="U240" i="4"/>
  <c r="R241" i="4"/>
  <c r="R242" i="4"/>
  <c r="R243" i="4"/>
  <c r="R244" i="4"/>
  <c r="R245" i="4"/>
  <c r="R246" i="4"/>
  <c r="R247" i="4"/>
  <c r="R248" i="4"/>
  <c r="R249" i="4"/>
  <c r="R250" i="4"/>
  <c r="R251" i="4"/>
  <c r="U251" i="4"/>
  <c r="R252" i="4"/>
  <c r="U252" i="4"/>
  <c r="R253" i="4"/>
  <c r="R254" i="4"/>
  <c r="R255" i="4"/>
  <c r="R256" i="4"/>
  <c r="R257" i="4"/>
  <c r="R258" i="4"/>
  <c r="R259" i="4"/>
  <c r="R260" i="4"/>
  <c r="R261" i="4"/>
  <c r="R262" i="4"/>
  <c r="R263" i="4"/>
  <c r="U263" i="4"/>
  <c r="R264" i="4"/>
  <c r="U264" i="4"/>
  <c r="R265" i="4"/>
  <c r="R266" i="4"/>
  <c r="R267" i="4"/>
  <c r="R268" i="4"/>
  <c r="R269" i="4"/>
  <c r="R270" i="4"/>
  <c r="R271" i="4"/>
  <c r="R272" i="4"/>
  <c r="R273" i="4"/>
  <c r="R274" i="4"/>
  <c r="R275" i="4"/>
  <c r="U275" i="4"/>
  <c r="R276" i="4"/>
  <c r="U276" i="4"/>
  <c r="R277" i="4"/>
  <c r="R278" i="4"/>
  <c r="R279" i="4"/>
  <c r="R280" i="4"/>
  <c r="R281" i="4"/>
  <c r="R282" i="4"/>
  <c r="R283" i="4"/>
  <c r="R284" i="4"/>
  <c r="R285" i="4"/>
  <c r="R286" i="4"/>
  <c r="R287" i="4"/>
  <c r="U287" i="4"/>
  <c r="R288" i="4"/>
  <c r="U288" i="4"/>
  <c r="R289" i="4"/>
  <c r="R290" i="4"/>
  <c r="R291" i="4"/>
  <c r="R292" i="4"/>
  <c r="R293" i="4"/>
  <c r="R294" i="4"/>
  <c r="R295" i="4"/>
  <c r="R296" i="4"/>
  <c r="R297" i="4"/>
  <c r="R298" i="4"/>
  <c r="R299" i="4"/>
  <c r="U299" i="4"/>
  <c r="R300" i="4"/>
  <c r="U300" i="4"/>
  <c r="R301" i="4"/>
  <c r="R302" i="4"/>
  <c r="R303" i="4"/>
  <c r="R304" i="4"/>
  <c r="R305" i="4"/>
  <c r="R306" i="4"/>
  <c r="R307" i="4"/>
  <c r="R308" i="4"/>
  <c r="R309" i="4"/>
  <c r="R310" i="4"/>
  <c r="R311" i="4"/>
  <c r="U311" i="4"/>
  <c r="R312" i="4"/>
  <c r="U312" i="4"/>
  <c r="R313" i="4"/>
  <c r="R314" i="4"/>
  <c r="R315" i="4"/>
  <c r="R316" i="4"/>
  <c r="R317" i="4"/>
  <c r="R318" i="4"/>
  <c r="R319" i="4"/>
  <c r="R320" i="4"/>
  <c r="R321" i="4"/>
  <c r="R322" i="4"/>
  <c r="R323" i="4"/>
  <c r="U323" i="4"/>
  <c r="R324" i="4"/>
  <c r="U324" i="4"/>
  <c r="R325" i="4"/>
  <c r="R326" i="4"/>
  <c r="R327" i="4"/>
  <c r="R328" i="4"/>
  <c r="R329" i="4"/>
  <c r="R330" i="4"/>
  <c r="R331" i="4"/>
  <c r="R332" i="4"/>
  <c r="R333" i="4"/>
  <c r="R334" i="4"/>
  <c r="R335" i="4"/>
  <c r="U335" i="4"/>
  <c r="R336" i="4"/>
  <c r="U336" i="4"/>
  <c r="R337" i="4"/>
  <c r="R338" i="4"/>
  <c r="R339" i="4"/>
  <c r="R340" i="4"/>
  <c r="R341" i="4"/>
  <c r="R342" i="4"/>
  <c r="R343" i="4"/>
  <c r="R344" i="4"/>
  <c r="U344" i="4"/>
  <c r="R345" i="4"/>
  <c r="R346" i="4"/>
  <c r="R347" i="4"/>
  <c r="U347" i="4"/>
  <c r="R348" i="4"/>
  <c r="U348" i="4"/>
  <c r="R349" i="4"/>
  <c r="R350" i="4"/>
  <c r="R351" i="4"/>
  <c r="R352" i="4"/>
  <c r="R353" i="4"/>
  <c r="R354" i="4"/>
  <c r="R355" i="4"/>
  <c r="R356" i="4"/>
  <c r="U356" i="4"/>
  <c r="R357" i="4"/>
  <c r="R358" i="4"/>
  <c r="R359" i="4"/>
  <c r="U359" i="4"/>
  <c r="R360" i="4"/>
  <c r="U360" i="4"/>
  <c r="R361" i="4"/>
  <c r="R362" i="4"/>
  <c r="R363" i="4"/>
  <c r="U363" i="4"/>
  <c r="R364" i="4"/>
  <c r="R365" i="4"/>
  <c r="R366" i="4"/>
  <c r="R367" i="4"/>
  <c r="R368" i="4"/>
  <c r="U368" i="4"/>
  <c r="R369" i="4"/>
  <c r="R370" i="4"/>
  <c r="R371" i="4"/>
  <c r="U371" i="4"/>
  <c r="R372" i="4"/>
  <c r="U372" i="4"/>
  <c r="R373" i="4"/>
  <c r="R374" i="4"/>
  <c r="R375" i="4"/>
  <c r="U375" i="4"/>
  <c r="R376" i="4"/>
  <c r="R377" i="4"/>
  <c r="R378" i="4"/>
  <c r="R379" i="4"/>
  <c r="R380" i="4"/>
  <c r="U380" i="4"/>
  <c r="H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101" i="4"/>
  <c r="U102" i="4"/>
  <c r="U103" i="4"/>
  <c r="U104" i="4"/>
  <c r="U105" i="4"/>
  <c r="U106" i="4"/>
  <c r="U110" i="4"/>
  <c r="U112" i="4"/>
  <c r="U113" i="4"/>
  <c r="U114" i="4"/>
  <c r="U116" i="4"/>
  <c r="U121" i="4"/>
  <c r="U122" i="4"/>
  <c r="U123" i="4"/>
  <c r="U124" i="4"/>
  <c r="U125" i="4"/>
  <c r="U126" i="4"/>
  <c r="U127" i="4"/>
  <c r="U128" i="4"/>
  <c r="U129" i="4"/>
  <c r="U130" i="4"/>
  <c r="U133" i="4"/>
  <c r="U134" i="4"/>
  <c r="U135" i="4"/>
  <c r="U136" i="4"/>
  <c r="U137" i="4"/>
  <c r="U138" i="4"/>
  <c r="U139" i="4"/>
  <c r="U140" i="4"/>
  <c r="U141" i="4"/>
  <c r="U142" i="4"/>
  <c r="U145" i="4"/>
  <c r="U146" i="4"/>
  <c r="U147" i="4"/>
  <c r="U148" i="4"/>
  <c r="U149" i="4"/>
  <c r="U150" i="4"/>
  <c r="U151" i="4"/>
  <c r="U152" i="4"/>
  <c r="U153" i="4"/>
  <c r="U154" i="4"/>
  <c r="U157" i="4"/>
  <c r="U158" i="4"/>
  <c r="U159" i="4"/>
  <c r="U160" i="4"/>
  <c r="U161" i="4"/>
  <c r="U162" i="4"/>
  <c r="U163" i="4"/>
  <c r="U164" i="4"/>
  <c r="U165" i="4"/>
  <c r="U166" i="4"/>
  <c r="U169" i="4"/>
  <c r="U170" i="4"/>
  <c r="U171" i="4"/>
  <c r="U172" i="4"/>
  <c r="U173" i="4"/>
  <c r="U174" i="4"/>
  <c r="U175" i="4"/>
  <c r="U176" i="4"/>
  <c r="U177" i="4"/>
  <c r="U178" i="4"/>
  <c r="U181" i="4"/>
  <c r="U182" i="4"/>
  <c r="U183" i="4"/>
  <c r="U184" i="4"/>
  <c r="U185" i="4"/>
  <c r="U186" i="4"/>
  <c r="U187" i="4"/>
  <c r="U188" i="4"/>
  <c r="U189" i="4"/>
  <c r="U190" i="4"/>
  <c r="U193" i="4"/>
  <c r="U194" i="4"/>
  <c r="U195" i="4"/>
  <c r="U196" i="4"/>
  <c r="U197" i="4"/>
  <c r="U198" i="4"/>
  <c r="U199" i="4"/>
  <c r="U200" i="4"/>
  <c r="U201" i="4"/>
  <c r="U202" i="4"/>
  <c r="U205" i="4"/>
  <c r="U206" i="4"/>
  <c r="U207" i="4"/>
  <c r="U208" i="4"/>
  <c r="U209" i="4"/>
  <c r="U210" i="4"/>
  <c r="U211" i="4"/>
  <c r="U212" i="4"/>
  <c r="U213" i="4"/>
  <c r="U214" i="4"/>
  <c r="U217" i="4"/>
  <c r="U218" i="4"/>
  <c r="U219" i="4"/>
  <c r="U220" i="4"/>
  <c r="U221" i="4"/>
  <c r="U222" i="4"/>
  <c r="U223" i="4"/>
  <c r="U224" i="4"/>
  <c r="U225" i="4"/>
  <c r="U226" i="4"/>
  <c r="U229" i="4"/>
  <c r="U230" i="4"/>
  <c r="U231" i="4"/>
  <c r="U232" i="4"/>
  <c r="U233" i="4"/>
  <c r="U234" i="4"/>
  <c r="U235" i="4"/>
  <c r="U236" i="4"/>
  <c r="U237" i="4"/>
  <c r="U238" i="4"/>
  <c r="U241" i="4"/>
  <c r="U242" i="4"/>
  <c r="U243" i="4"/>
  <c r="U244" i="4"/>
  <c r="U245" i="4"/>
  <c r="U246" i="4"/>
  <c r="U247" i="4"/>
  <c r="U248" i="4"/>
  <c r="U249" i="4"/>
  <c r="U250" i="4"/>
  <c r="U253" i="4"/>
  <c r="U254" i="4"/>
  <c r="U255" i="4"/>
  <c r="U256" i="4"/>
  <c r="U257" i="4"/>
  <c r="U258" i="4"/>
  <c r="U259" i="4"/>
  <c r="U260" i="4"/>
  <c r="U261" i="4"/>
  <c r="U262" i="4"/>
  <c r="U265" i="4"/>
  <c r="U266" i="4"/>
  <c r="U267" i="4"/>
  <c r="U268" i="4"/>
  <c r="U269" i="4"/>
  <c r="U270" i="4"/>
  <c r="U271" i="4"/>
  <c r="U272" i="4"/>
  <c r="U273" i="4"/>
  <c r="U274" i="4"/>
  <c r="U277" i="4"/>
  <c r="U278" i="4"/>
  <c r="U279" i="4"/>
  <c r="U280" i="4"/>
  <c r="U281" i="4"/>
  <c r="U282" i="4"/>
  <c r="U283" i="4"/>
  <c r="U284" i="4"/>
  <c r="U285" i="4"/>
  <c r="U286" i="4"/>
  <c r="U289" i="4"/>
  <c r="U290" i="4"/>
  <c r="U291" i="4"/>
  <c r="U292" i="4"/>
  <c r="U293" i="4"/>
  <c r="U294" i="4"/>
  <c r="U295" i="4"/>
  <c r="U296" i="4"/>
  <c r="U297" i="4"/>
  <c r="U298" i="4"/>
  <c r="U301" i="4"/>
  <c r="U302" i="4"/>
  <c r="U303" i="4"/>
  <c r="U304" i="4"/>
  <c r="U305" i="4"/>
  <c r="U306" i="4"/>
  <c r="U307" i="4"/>
  <c r="U308" i="4"/>
  <c r="U309" i="4"/>
  <c r="U310" i="4"/>
  <c r="U313" i="4"/>
  <c r="U314" i="4"/>
  <c r="U315" i="4"/>
  <c r="U316" i="4"/>
  <c r="U317" i="4"/>
  <c r="U318" i="4"/>
  <c r="U319" i="4"/>
  <c r="U320" i="4"/>
  <c r="U321" i="4"/>
  <c r="U322" i="4"/>
  <c r="U325" i="4"/>
  <c r="U326" i="4"/>
  <c r="U327" i="4"/>
  <c r="U328" i="4"/>
  <c r="U329" i="4"/>
  <c r="U330" i="4"/>
  <c r="U331" i="4"/>
  <c r="U332" i="4"/>
  <c r="U333" i="4"/>
  <c r="U334" i="4"/>
  <c r="U337" i="4"/>
  <c r="U338" i="4"/>
  <c r="U339" i="4"/>
  <c r="U340" i="4"/>
  <c r="U341" i="4"/>
  <c r="U342" i="4"/>
  <c r="U343" i="4"/>
  <c r="U345" i="4"/>
  <c r="U346" i="4"/>
  <c r="U349" i="4"/>
  <c r="U350" i="4"/>
  <c r="U351" i="4"/>
  <c r="U352" i="4"/>
  <c r="U353" i="4"/>
  <c r="U354" i="4"/>
  <c r="U355" i="4"/>
  <c r="U357" i="4"/>
  <c r="U358" i="4"/>
  <c r="U361" i="4"/>
  <c r="U362" i="4"/>
  <c r="U364" i="4"/>
  <c r="U365" i="4"/>
  <c r="U366" i="4"/>
  <c r="U367" i="4"/>
  <c r="U369" i="4"/>
  <c r="U370" i="4"/>
  <c r="U373" i="4"/>
  <c r="U374" i="4"/>
  <c r="U376" i="4"/>
  <c r="U377" i="4"/>
  <c r="U378" i="4"/>
  <c r="U379" i="4"/>
  <c r="U30" i="4"/>
  <c r="T31" i="4"/>
  <c r="T32" i="4"/>
  <c r="T33" i="4"/>
  <c r="T34" i="4"/>
  <c r="T35" i="4"/>
  <c r="T36" i="4"/>
  <c r="T37" i="4"/>
  <c r="T38" i="4"/>
  <c r="T39" i="4"/>
  <c r="T42" i="4"/>
  <c r="T43" i="4"/>
  <c r="T44" i="4"/>
  <c r="T45" i="4"/>
  <c r="T46" i="4"/>
  <c r="T47" i="4"/>
  <c r="T48" i="4"/>
  <c r="T49" i="4"/>
  <c r="T50" i="4"/>
  <c r="T51" i="4"/>
  <c r="T54" i="4"/>
  <c r="T55" i="4"/>
  <c r="T56" i="4"/>
  <c r="T57" i="4"/>
  <c r="T58" i="4"/>
  <c r="T59" i="4"/>
  <c r="T61" i="4"/>
  <c r="T62" i="4"/>
  <c r="T63" i="4"/>
  <c r="T66" i="4"/>
  <c r="T67" i="4"/>
  <c r="T68" i="4"/>
  <c r="T69" i="4"/>
  <c r="T70" i="4"/>
  <c r="T71" i="4"/>
  <c r="T72" i="4"/>
  <c r="T73" i="4"/>
  <c r="T74" i="4"/>
  <c r="T75" i="4"/>
  <c r="T78" i="4"/>
  <c r="T79" i="4"/>
  <c r="T80" i="4"/>
  <c r="T81" i="4"/>
  <c r="T82" i="4"/>
  <c r="T83" i="4"/>
  <c r="T84" i="4"/>
  <c r="T85" i="4"/>
  <c r="T86" i="4"/>
  <c r="T87" i="4"/>
  <c r="T90" i="4"/>
  <c r="T91" i="4"/>
  <c r="T92" i="4"/>
  <c r="T93" i="4"/>
  <c r="T94" i="4"/>
  <c r="T95" i="4"/>
  <c r="T96" i="4"/>
  <c r="T103" i="4"/>
  <c r="T104" i="4"/>
  <c r="T116" i="4"/>
  <c r="T127" i="4"/>
  <c r="T128" i="4"/>
  <c r="T139" i="4"/>
  <c r="T140" i="4"/>
  <c r="T151" i="4"/>
  <c r="T152" i="4"/>
  <c r="T163" i="4"/>
  <c r="T164" i="4"/>
  <c r="T175" i="4"/>
  <c r="T176" i="4"/>
  <c r="T187" i="4"/>
  <c r="T188" i="4"/>
  <c r="T211" i="4"/>
  <c r="T212" i="4"/>
  <c r="T223" i="4"/>
  <c r="T224" i="4"/>
  <c r="T235" i="4"/>
  <c r="T236" i="4"/>
  <c r="T248" i="4"/>
  <c r="T259" i="4"/>
  <c r="T260" i="4"/>
  <c r="T271" i="4"/>
  <c r="T272" i="4"/>
  <c r="T283" i="4"/>
  <c r="T284" i="4"/>
  <c r="T292" i="4"/>
  <c r="T296" i="4"/>
  <c r="T307" i="4"/>
  <c r="T308" i="4"/>
  <c r="T319" i="4"/>
  <c r="T320" i="4"/>
  <c r="T331" i="4"/>
  <c r="T332" i="4"/>
  <c r="T343" i="4"/>
  <c r="T344" i="4"/>
  <c r="T355" i="4"/>
  <c r="T356" i="4"/>
  <c r="T368" i="4"/>
  <c r="T379" i="4"/>
  <c r="T380" i="4"/>
  <c r="T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U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T196" i="4"/>
  <c r="T197" i="4"/>
  <c r="T305" i="4"/>
  <c r="R30" i="4"/>
  <c r="T102" i="4"/>
  <c r="T114" i="4"/>
  <c r="T126" i="4"/>
  <c r="T138" i="4"/>
  <c r="T150" i="4"/>
  <c r="T162" i="4"/>
  <c r="T174" i="4"/>
  <c r="T186" i="4"/>
  <c r="T198" i="4"/>
  <c r="T210" i="4"/>
  <c r="T222" i="4"/>
  <c r="T234" i="4"/>
  <c r="T246" i="4"/>
  <c r="T258" i="4"/>
  <c r="T270" i="4"/>
  <c r="T282" i="4"/>
  <c r="T294" i="4"/>
  <c r="T306" i="4"/>
  <c r="T318" i="4"/>
  <c r="T330" i="4"/>
  <c r="T342" i="4"/>
  <c r="T354" i="4"/>
  <c r="T366" i="4"/>
  <c r="T378" i="4"/>
  <c r="T60" i="4"/>
  <c r="T98" i="4"/>
  <c r="T99" i="4"/>
  <c r="T105" i="4"/>
  <c r="T106" i="4"/>
  <c r="T110" i="4"/>
  <c r="T117" i="4"/>
  <c r="T121" i="4"/>
  <c r="T122" i="4"/>
  <c r="T123" i="4"/>
  <c r="T129" i="4"/>
  <c r="T130" i="4"/>
  <c r="T133" i="4"/>
  <c r="T134" i="4"/>
  <c r="T135" i="4"/>
  <c r="T141" i="4"/>
  <c r="T142" i="4"/>
  <c r="T145" i="4"/>
  <c r="T146" i="4"/>
  <c r="T147" i="4"/>
  <c r="T153" i="4"/>
  <c r="T154" i="4"/>
  <c r="T157" i="4"/>
  <c r="T158" i="4"/>
  <c r="T159" i="4"/>
  <c r="T165" i="4"/>
  <c r="T166" i="4"/>
  <c r="T167" i="4"/>
  <c r="T169" i="4"/>
  <c r="T170" i="4"/>
  <c r="T171" i="4"/>
  <c r="T177" i="4"/>
  <c r="T178" i="4"/>
  <c r="T181" i="4"/>
  <c r="T182" i="4"/>
  <c r="T183" i="4"/>
  <c r="T189" i="4"/>
  <c r="T190" i="4"/>
  <c r="T193" i="4"/>
  <c r="T194" i="4"/>
  <c r="T195" i="4"/>
  <c r="T199" i="4"/>
  <c r="T200" i="4"/>
  <c r="T202" i="4"/>
  <c r="T205" i="4"/>
  <c r="T206" i="4"/>
  <c r="T207" i="4"/>
  <c r="T213" i="4"/>
  <c r="T214" i="4"/>
  <c r="T215" i="4"/>
  <c r="T217" i="4"/>
  <c r="T218" i="4"/>
  <c r="T219" i="4"/>
  <c r="T226" i="4"/>
  <c r="T229" i="4"/>
  <c r="T230" i="4"/>
  <c r="T231" i="4"/>
  <c r="T237" i="4"/>
  <c r="T238" i="4"/>
  <c r="T241" i="4"/>
  <c r="T242" i="4"/>
  <c r="T243" i="4"/>
  <c r="T247" i="4"/>
  <c r="T250" i="4"/>
  <c r="T253" i="4"/>
  <c r="T254" i="4"/>
  <c r="T255" i="4"/>
  <c r="T262" i="4"/>
  <c r="T265" i="4"/>
  <c r="T266" i="4"/>
  <c r="T267" i="4"/>
  <c r="T274" i="4"/>
  <c r="T277" i="4"/>
  <c r="T278" i="4"/>
  <c r="T279" i="4"/>
  <c r="T286" i="4"/>
  <c r="T289" i="4"/>
  <c r="T290" i="4"/>
  <c r="T291" i="4"/>
  <c r="T295" i="4"/>
  <c r="T297" i="4"/>
  <c r="T298" i="4"/>
  <c r="T301" i="4"/>
  <c r="T302" i="4"/>
  <c r="T303" i="4"/>
  <c r="T304" i="4"/>
  <c r="T310" i="4"/>
  <c r="T313" i="4"/>
  <c r="T314" i="4"/>
  <c r="T315" i="4"/>
  <c r="T321" i="4"/>
  <c r="T322" i="4"/>
  <c r="T325" i="4"/>
  <c r="T326" i="4"/>
  <c r="T327" i="4"/>
  <c r="T334" i="4"/>
  <c r="T337" i="4"/>
  <c r="T338" i="4"/>
  <c r="T339" i="4"/>
  <c r="T345" i="4"/>
  <c r="T346" i="4"/>
  <c r="T349" i="4"/>
  <c r="T350" i="4"/>
  <c r="T351" i="4"/>
  <c r="T358" i="4"/>
  <c r="T361" i="4"/>
  <c r="T362" i="4"/>
  <c r="T363" i="4"/>
  <c r="T370" i="4"/>
  <c r="T371" i="4"/>
  <c r="T372" i="4"/>
  <c r="T373" i="4"/>
  <c r="T374" i="4"/>
  <c r="T375" i="4"/>
  <c r="N68" i="4"/>
  <c r="N70" i="4"/>
  <c r="N80" i="4"/>
  <c r="N82" i="4"/>
  <c r="N92" i="4"/>
  <c r="N94" i="4"/>
  <c r="N104" i="4"/>
  <c r="N106" i="4"/>
  <c r="N116" i="4"/>
  <c r="N118" i="4"/>
  <c r="N128" i="4"/>
  <c r="N130" i="4"/>
  <c r="N140" i="4"/>
  <c r="N142" i="4"/>
  <c r="N152" i="4"/>
  <c r="N154" i="4"/>
  <c r="N164" i="4"/>
  <c r="N166" i="4"/>
  <c r="N176" i="4"/>
  <c r="N178" i="4"/>
  <c r="N188" i="4"/>
  <c r="N190" i="4"/>
  <c r="N200" i="4"/>
  <c r="N202" i="4"/>
  <c r="N212" i="4"/>
  <c r="N214" i="4"/>
  <c r="N224" i="4"/>
  <c r="N226" i="4"/>
  <c r="N236" i="4"/>
  <c r="N238" i="4"/>
  <c r="N248" i="4"/>
  <c r="N250" i="4"/>
  <c r="N260" i="4"/>
  <c r="N262" i="4"/>
  <c r="N272" i="4"/>
  <c r="N274" i="4"/>
  <c r="N284" i="4"/>
  <c r="N286" i="4"/>
  <c r="N296" i="4"/>
  <c r="N298" i="4"/>
  <c r="N308" i="4"/>
  <c r="N310" i="4"/>
  <c r="N320" i="4"/>
  <c r="N322" i="4"/>
  <c r="N332" i="4"/>
  <c r="N334" i="4"/>
  <c r="N344" i="4"/>
  <c r="N346" i="4"/>
  <c r="N356" i="4"/>
  <c r="N358" i="4"/>
  <c r="N368" i="4"/>
  <c r="N370" i="4"/>
  <c r="N380" i="4"/>
  <c r="M97" i="4"/>
  <c r="M109" i="4"/>
  <c r="M121" i="4"/>
  <c r="M133" i="4"/>
  <c r="M145" i="4"/>
  <c r="M157" i="4"/>
  <c r="M169" i="4"/>
  <c r="M181" i="4"/>
  <c r="M193" i="4"/>
  <c r="M205" i="4"/>
  <c r="M217" i="4"/>
  <c r="M229" i="4"/>
  <c r="M241" i="4"/>
  <c r="M253" i="4"/>
  <c r="M265" i="4"/>
  <c r="M277" i="4"/>
  <c r="M289" i="4"/>
  <c r="M301" i="4"/>
  <c r="M313" i="4"/>
  <c r="M325" i="4"/>
  <c r="M337" i="4"/>
  <c r="O337" i="4"/>
  <c r="M349" i="4"/>
  <c r="M361" i="4"/>
  <c r="M373"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N97" i="4"/>
  <c r="J98" i="4"/>
  <c r="N98" i="4"/>
  <c r="J99" i="4"/>
  <c r="M99" i="4"/>
  <c r="J100" i="4"/>
  <c r="J101" i="4"/>
  <c r="M101" i="4"/>
  <c r="J102" i="4"/>
  <c r="M102" i="4"/>
  <c r="J103" i="4"/>
  <c r="M103" i="4"/>
  <c r="J104" i="4"/>
  <c r="M104" i="4"/>
  <c r="O104" i="4"/>
  <c r="J105" i="4"/>
  <c r="M105" i="4"/>
  <c r="J106" i="4"/>
  <c r="M106" i="4"/>
  <c r="O106" i="4"/>
  <c r="J107" i="4"/>
  <c r="J108" i="4"/>
  <c r="J109" i="4"/>
  <c r="N109" i="4"/>
  <c r="J110" i="4"/>
  <c r="N110" i="4"/>
  <c r="J111" i="4"/>
  <c r="M111" i="4"/>
  <c r="J112" i="4"/>
  <c r="J113" i="4"/>
  <c r="M113" i="4"/>
  <c r="J114" i="4"/>
  <c r="M114" i="4"/>
  <c r="J115" i="4"/>
  <c r="M115" i="4"/>
  <c r="J116" i="4"/>
  <c r="M116" i="4"/>
  <c r="O116" i="4"/>
  <c r="J117" i="4"/>
  <c r="M117" i="4"/>
  <c r="J118" i="4"/>
  <c r="M118" i="4"/>
  <c r="J119" i="4"/>
  <c r="J120" i="4"/>
  <c r="J121" i="4"/>
  <c r="N121" i="4"/>
  <c r="J122" i="4"/>
  <c r="N122" i="4"/>
  <c r="J123" i="4"/>
  <c r="M123" i="4"/>
  <c r="J124" i="4"/>
  <c r="J125" i="4"/>
  <c r="M125" i="4"/>
  <c r="J126" i="4"/>
  <c r="M126" i="4"/>
  <c r="J127" i="4"/>
  <c r="M127" i="4"/>
  <c r="J128" i="4"/>
  <c r="M128" i="4"/>
  <c r="O128" i="4"/>
  <c r="J129" i="4"/>
  <c r="M129" i="4"/>
  <c r="J130" i="4"/>
  <c r="M130" i="4"/>
  <c r="O130" i="4"/>
  <c r="J131" i="4"/>
  <c r="J132" i="4"/>
  <c r="J133" i="4"/>
  <c r="N133" i="4"/>
  <c r="J134" i="4"/>
  <c r="N134" i="4"/>
  <c r="J135" i="4"/>
  <c r="M135" i="4"/>
  <c r="J136" i="4"/>
  <c r="J137" i="4"/>
  <c r="M137" i="4"/>
  <c r="J138" i="4"/>
  <c r="M138" i="4"/>
  <c r="J139" i="4"/>
  <c r="M139" i="4"/>
  <c r="J140" i="4"/>
  <c r="M140" i="4"/>
  <c r="O140" i="4"/>
  <c r="J141" i="4"/>
  <c r="M141" i="4"/>
  <c r="J142" i="4"/>
  <c r="M142" i="4"/>
  <c r="O142" i="4"/>
  <c r="J143" i="4"/>
  <c r="J144" i="4"/>
  <c r="J145" i="4"/>
  <c r="N145" i="4"/>
  <c r="J146" i="4"/>
  <c r="N146" i="4"/>
  <c r="J147" i="4"/>
  <c r="M147" i="4"/>
  <c r="J148" i="4"/>
  <c r="J149" i="4"/>
  <c r="M149" i="4"/>
  <c r="J150" i="4"/>
  <c r="M150" i="4"/>
  <c r="J151" i="4"/>
  <c r="M151" i="4"/>
  <c r="J152" i="4"/>
  <c r="M152" i="4"/>
  <c r="J153" i="4"/>
  <c r="M153" i="4"/>
  <c r="J154" i="4"/>
  <c r="M154" i="4"/>
  <c r="J155" i="4"/>
  <c r="J156" i="4"/>
  <c r="J157" i="4"/>
  <c r="N157" i="4"/>
  <c r="J158" i="4"/>
  <c r="N158" i="4"/>
  <c r="J159" i="4"/>
  <c r="M159" i="4"/>
  <c r="J160" i="4"/>
  <c r="J161" i="4"/>
  <c r="M161" i="4"/>
  <c r="J162" i="4"/>
  <c r="M162" i="4"/>
  <c r="J163" i="4"/>
  <c r="M163" i="4"/>
  <c r="J164" i="4"/>
  <c r="M164" i="4"/>
  <c r="O164" i="4"/>
  <c r="J165" i="4"/>
  <c r="M165" i="4"/>
  <c r="J166" i="4"/>
  <c r="M166" i="4"/>
  <c r="O166" i="4"/>
  <c r="J167" i="4"/>
  <c r="J168" i="4"/>
  <c r="J169" i="4"/>
  <c r="N169" i="4"/>
  <c r="J170" i="4"/>
  <c r="N170" i="4"/>
  <c r="J171" i="4"/>
  <c r="M171" i="4"/>
  <c r="J172" i="4"/>
  <c r="J173" i="4"/>
  <c r="M173" i="4"/>
  <c r="J174" i="4"/>
  <c r="M174" i="4"/>
  <c r="J175" i="4"/>
  <c r="M175" i="4"/>
  <c r="J176" i="4"/>
  <c r="M176" i="4"/>
  <c r="O176" i="4"/>
  <c r="J177" i="4"/>
  <c r="M177" i="4"/>
  <c r="J178" i="4"/>
  <c r="M178" i="4"/>
  <c r="O178" i="4"/>
  <c r="J179" i="4"/>
  <c r="J180" i="4"/>
  <c r="J181" i="4"/>
  <c r="N181" i="4"/>
  <c r="J182" i="4"/>
  <c r="N182" i="4"/>
  <c r="J183" i="4"/>
  <c r="M183" i="4"/>
  <c r="J184" i="4"/>
  <c r="J185" i="4"/>
  <c r="M185" i="4"/>
  <c r="J186" i="4"/>
  <c r="M186" i="4"/>
  <c r="J187" i="4"/>
  <c r="M187" i="4"/>
  <c r="J188" i="4"/>
  <c r="M188" i="4"/>
  <c r="O188" i="4"/>
  <c r="J189" i="4"/>
  <c r="M189" i="4"/>
  <c r="J190" i="4"/>
  <c r="M190" i="4"/>
  <c r="J191" i="4"/>
  <c r="J192" i="4"/>
  <c r="J193" i="4"/>
  <c r="N193" i="4"/>
  <c r="J194" i="4"/>
  <c r="N194" i="4"/>
  <c r="J195" i="4"/>
  <c r="M195" i="4"/>
  <c r="J196" i="4"/>
  <c r="J197" i="4"/>
  <c r="M197" i="4"/>
  <c r="J198" i="4"/>
  <c r="M198" i="4"/>
  <c r="J199" i="4"/>
  <c r="M199" i="4"/>
  <c r="J200" i="4"/>
  <c r="M200" i="4"/>
  <c r="O200" i="4"/>
  <c r="J201" i="4"/>
  <c r="M201" i="4"/>
  <c r="J202" i="4"/>
  <c r="M202" i="4"/>
  <c r="O202" i="4"/>
  <c r="J203" i="4"/>
  <c r="J204" i="4"/>
  <c r="J205" i="4"/>
  <c r="N205" i="4"/>
  <c r="J206" i="4"/>
  <c r="N206" i="4"/>
  <c r="J207" i="4"/>
  <c r="M207" i="4"/>
  <c r="J208" i="4"/>
  <c r="J209" i="4"/>
  <c r="M209" i="4"/>
  <c r="J210" i="4"/>
  <c r="M210" i="4"/>
  <c r="J211" i="4"/>
  <c r="M211" i="4"/>
  <c r="J212" i="4"/>
  <c r="M212" i="4"/>
  <c r="O212" i="4"/>
  <c r="J213" i="4"/>
  <c r="M213" i="4"/>
  <c r="J214" i="4"/>
  <c r="M214" i="4"/>
  <c r="O214" i="4"/>
  <c r="J215" i="4"/>
  <c r="J216" i="4"/>
  <c r="J217" i="4"/>
  <c r="N217" i="4"/>
  <c r="J218" i="4"/>
  <c r="N218" i="4"/>
  <c r="J219" i="4"/>
  <c r="M219" i="4"/>
  <c r="J220" i="4"/>
  <c r="J221" i="4"/>
  <c r="M221" i="4"/>
  <c r="J222" i="4"/>
  <c r="M222" i="4"/>
  <c r="J223" i="4"/>
  <c r="M223" i="4"/>
  <c r="J224" i="4"/>
  <c r="M224" i="4"/>
  <c r="J225" i="4"/>
  <c r="M225" i="4"/>
  <c r="J226" i="4"/>
  <c r="M226" i="4"/>
  <c r="J227" i="4"/>
  <c r="J228" i="4"/>
  <c r="J229" i="4"/>
  <c r="N229" i="4"/>
  <c r="J230" i="4"/>
  <c r="N230" i="4"/>
  <c r="J231" i="4"/>
  <c r="M231" i="4"/>
  <c r="J232" i="4"/>
  <c r="J233" i="4"/>
  <c r="M233" i="4"/>
  <c r="J234" i="4"/>
  <c r="M234" i="4"/>
  <c r="J235" i="4"/>
  <c r="M235" i="4"/>
  <c r="J236" i="4"/>
  <c r="M236" i="4"/>
  <c r="O236" i="4"/>
  <c r="J237" i="4"/>
  <c r="M237" i="4"/>
  <c r="J238" i="4"/>
  <c r="M238" i="4"/>
  <c r="O238" i="4"/>
  <c r="J239" i="4"/>
  <c r="J240" i="4"/>
  <c r="J241" i="4"/>
  <c r="N241" i="4"/>
  <c r="J242" i="4"/>
  <c r="N242" i="4"/>
  <c r="J243" i="4"/>
  <c r="M243" i="4"/>
  <c r="J244" i="4"/>
  <c r="J245" i="4"/>
  <c r="M245" i="4"/>
  <c r="J246" i="4"/>
  <c r="M246" i="4"/>
  <c r="J247" i="4"/>
  <c r="M247" i="4"/>
  <c r="J248" i="4"/>
  <c r="M248" i="4"/>
  <c r="O248" i="4"/>
  <c r="J249" i="4"/>
  <c r="M249" i="4"/>
  <c r="J250" i="4"/>
  <c r="M250" i="4"/>
  <c r="O250" i="4"/>
  <c r="J251" i="4"/>
  <c r="J252" i="4"/>
  <c r="J253" i="4"/>
  <c r="N253" i="4"/>
  <c r="J254" i="4"/>
  <c r="N254" i="4"/>
  <c r="J255" i="4"/>
  <c r="M255" i="4"/>
  <c r="J256" i="4"/>
  <c r="J257" i="4"/>
  <c r="M257" i="4"/>
  <c r="J258" i="4"/>
  <c r="M258" i="4"/>
  <c r="J259" i="4"/>
  <c r="M259" i="4"/>
  <c r="J260" i="4"/>
  <c r="M260" i="4"/>
  <c r="O260" i="4"/>
  <c r="J261" i="4"/>
  <c r="M261" i="4"/>
  <c r="J262" i="4"/>
  <c r="M262" i="4"/>
  <c r="J263" i="4"/>
  <c r="J264" i="4"/>
  <c r="J265" i="4"/>
  <c r="N265" i="4"/>
  <c r="J266" i="4"/>
  <c r="N266" i="4"/>
  <c r="J267" i="4"/>
  <c r="M267" i="4"/>
  <c r="J268" i="4"/>
  <c r="J269" i="4"/>
  <c r="M269" i="4"/>
  <c r="J270" i="4"/>
  <c r="M270" i="4"/>
  <c r="J271" i="4"/>
  <c r="M271" i="4"/>
  <c r="J272" i="4"/>
  <c r="M272" i="4"/>
  <c r="O272" i="4"/>
  <c r="J273" i="4"/>
  <c r="M273" i="4"/>
  <c r="J274" i="4"/>
  <c r="M274" i="4"/>
  <c r="O274" i="4"/>
  <c r="J275" i="4"/>
  <c r="J276" i="4"/>
  <c r="J277" i="4"/>
  <c r="N277" i="4"/>
  <c r="J278" i="4"/>
  <c r="N278" i="4"/>
  <c r="J279" i="4"/>
  <c r="M279" i="4"/>
  <c r="J280" i="4"/>
  <c r="J281" i="4"/>
  <c r="M281" i="4"/>
  <c r="J282" i="4"/>
  <c r="M282" i="4"/>
  <c r="J283" i="4"/>
  <c r="M283" i="4"/>
  <c r="J284" i="4"/>
  <c r="M284" i="4"/>
  <c r="O284" i="4"/>
  <c r="J285" i="4"/>
  <c r="M285" i="4"/>
  <c r="J286" i="4"/>
  <c r="M286" i="4"/>
  <c r="O286" i="4"/>
  <c r="J287" i="4"/>
  <c r="J288" i="4"/>
  <c r="J289" i="4"/>
  <c r="N289" i="4"/>
  <c r="J290" i="4"/>
  <c r="N290" i="4"/>
  <c r="J291" i="4"/>
  <c r="M291" i="4"/>
  <c r="J292" i="4"/>
  <c r="J293" i="4"/>
  <c r="M293" i="4"/>
  <c r="J294" i="4"/>
  <c r="M294" i="4"/>
  <c r="J295" i="4"/>
  <c r="M295" i="4"/>
  <c r="J296" i="4"/>
  <c r="M296" i="4"/>
  <c r="J297" i="4"/>
  <c r="M297" i="4"/>
  <c r="J298" i="4"/>
  <c r="M298" i="4"/>
  <c r="J299" i="4"/>
  <c r="J300" i="4"/>
  <c r="J301" i="4"/>
  <c r="N301" i="4"/>
  <c r="J302" i="4"/>
  <c r="N302" i="4"/>
  <c r="J303" i="4"/>
  <c r="M303" i="4"/>
  <c r="J304" i="4"/>
  <c r="J305" i="4"/>
  <c r="M305" i="4"/>
  <c r="J306" i="4"/>
  <c r="M306" i="4"/>
  <c r="J307" i="4"/>
  <c r="M307" i="4"/>
  <c r="J308" i="4"/>
  <c r="M308" i="4"/>
  <c r="O308" i="4"/>
  <c r="J309" i="4"/>
  <c r="M309" i="4"/>
  <c r="J310" i="4"/>
  <c r="M310" i="4"/>
  <c r="O310" i="4"/>
  <c r="J311" i="4"/>
  <c r="J312" i="4"/>
  <c r="J313" i="4"/>
  <c r="N313" i="4"/>
  <c r="J314" i="4"/>
  <c r="N314" i="4"/>
  <c r="J315" i="4"/>
  <c r="M315" i="4"/>
  <c r="J316" i="4"/>
  <c r="J317" i="4"/>
  <c r="M317" i="4"/>
  <c r="J318" i="4"/>
  <c r="M318" i="4"/>
  <c r="J319" i="4"/>
  <c r="M319" i="4"/>
  <c r="J320" i="4"/>
  <c r="M320" i="4"/>
  <c r="O320" i="4"/>
  <c r="J321" i="4"/>
  <c r="M321" i="4"/>
  <c r="J322" i="4"/>
  <c r="M322" i="4"/>
  <c r="O322" i="4"/>
  <c r="J323" i="4"/>
  <c r="J324" i="4"/>
  <c r="J325" i="4"/>
  <c r="N325" i="4"/>
  <c r="J326" i="4"/>
  <c r="N326" i="4"/>
  <c r="J327" i="4"/>
  <c r="M327" i="4"/>
  <c r="J328" i="4"/>
  <c r="J329" i="4"/>
  <c r="M329" i="4"/>
  <c r="J330" i="4"/>
  <c r="M330" i="4"/>
  <c r="J331" i="4"/>
  <c r="M331" i="4"/>
  <c r="J332" i="4"/>
  <c r="M332" i="4"/>
  <c r="O332" i="4"/>
  <c r="J333" i="4"/>
  <c r="M333" i="4"/>
  <c r="J334" i="4"/>
  <c r="M334" i="4"/>
  <c r="J335" i="4"/>
  <c r="J336" i="4"/>
  <c r="J337" i="4"/>
  <c r="N337" i="4"/>
  <c r="J338" i="4"/>
  <c r="N338" i="4"/>
  <c r="J339" i="4"/>
  <c r="M339" i="4"/>
  <c r="J340" i="4"/>
  <c r="J341" i="4"/>
  <c r="M341" i="4"/>
  <c r="J342" i="4"/>
  <c r="M342" i="4"/>
  <c r="J343" i="4"/>
  <c r="M343" i="4"/>
  <c r="J344" i="4"/>
  <c r="M344" i="4"/>
  <c r="O344" i="4"/>
  <c r="J345" i="4"/>
  <c r="M345" i="4"/>
  <c r="J346" i="4"/>
  <c r="M346" i="4"/>
  <c r="O346" i="4"/>
  <c r="J347" i="4"/>
  <c r="J348" i="4"/>
  <c r="J349" i="4"/>
  <c r="N349" i="4"/>
  <c r="J350" i="4"/>
  <c r="N350" i="4"/>
  <c r="J351" i="4"/>
  <c r="M351" i="4"/>
  <c r="J352" i="4"/>
  <c r="J353" i="4"/>
  <c r="M353" i="4"/>
  <c r="J354" i="4"/>
  <c r="M354" i="4"/>
  <c r="J355" i="4"/>
  <c r="M355" i="4"/>
  <c r="J356" i="4"/>
  <c r="M356" i="4"/>
  <c r="O356" i="4"/>
  <c r="J357" i="4"/>
  <c r="M357" i="4"/>
  <c r="J358" i="4"/>
  <c r="M358" i="4"/>
  <c r="O358" i="4"/>
  <c r="J359" i="4"/>
  <c r="J360" i="4"/>
  <c r="J361" i="4"/>
  <c r="N361" i="4"/>
  <c r="J362" i="4"/>
  <c r="N362" i="4"/>
  <c r="J363" i="4"/>
  <c r="M363" i="4"/>
  <c r="J364" i="4"/>
  <c r="J365" i="4"/>
  <c r="M365" i="4"/>
  <c r="J366" i="4"/>
  <c r="M366" i="4"/>
  <c r="J367" i="4"/>
  <c r="M367" i="4"/>
  <c r="J368" i="4"/>
  <c r="M368" i="4"/>
  <c r="J369" i="4"/>
  <c r="M369" i="4"/>
  <c r="J370" i="4"/>
  <c r="M370" i="4"/>
  <c r="J371" i="4"/>
  <c r="J372" i="4"/>
  <c r="J373" i="4"/>
  <c r="N373" i="4"/>
  <c r="J374" i="4"/>
  <c r="N374" i="4"/>
  <c r="J375" i="4"/>
  <c r="M375" i="4"/>
  <c r="J376" i="4"/>
  <c r="J377" i="4"/>
  <c r="M377" i="4"/>
  <c r="J378" i="4"/>
  <c r="M378" i="4"/>
  <c r="J379" i="4"/>
  <c r="M379" i="4"/>
  <c r="J380" i="4"/>
  <c r="M380" i="4"/>
  <c r="O38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30" i="4"/>
  <c r="I60" i="4"/>
  <c r="I61" i="4"/>
  <c r="M61" i="4"/>
  <c r="O61" i="4"/>
  <c r="I62" i="4"/>
  <c r="I63" i="4"/>
  <c r="I64" i="4"/>
  <c r="I65" i="4"/>
  <c r="I66" i="4"/>
  <c r="I67" i="4"/>
  <c r="I68" i="4"/>
  <c r="I69" i="4"/>
  <c r="I70" i="4"/>
  <c r="I71" i="4"/>
  <c r="M71" i="4"/>
  <c r="I72" i="4"/>
  <c r="I73" i="4"/>
  <c r="M73" i="4"/>
  <c r="O73" i="4"/>
  <c r="I74" i="4"/>
  <c r="I75" i="4"/>
  <c r="I76" i="4"/>
  <c r="I77" i="4"/>
  <c r="I78" i="4"/>
  <c r="I79" i="4"/>
  <c r="I80" i="4"/>
  <c r="I81" i="4"/>
  <c r="I82" i="4"/>
  <c r="I83" i="4"/>
  <c r="M83" i="4"/>
  <c r="I84" i="4"/>
  <c r="I85" i="4"/>
  <c r="M85" i="4"/>
  <c r="O85" i="4"/>
  <c r="I86" i="4"/>
  <c r="I87" i="4"/>
  <c r="I88" i="4"/>
  <c r="I89" i="4"/>
  <c r="I90" i="4"/>
  <c r="I91" i="4"/>
  <c r="I92" i="4"/>
  <c r="I93" i="4"/>
  <c r="I94" i="4"/>
  <c r="I95" i="4"/>
  <c r="M95" i="4"/>
  <c r="I96" i="4"/>
  <c r="H60" i="4"/>
  <c r="H61" i="4"/>
  <c r="N61" i="4"/>
  <c r="H62" i="4"/>
  <c r="N62" i="4"/>
  <c r="H63" i="4"/>
  <c r="M63" i="4"/>
  <c r="H64" i="4"/>
  <c r="M64" i="4"/>
  <c r="H65" i="4"/>
  <c r="M65" i="4"/>
  <c r="H66" i="4"/>
  <c r="M66" i="4"/>
  <c r="H67" i="4"/>
  <c r="M67" i="4"/>
  <c r="H68" i="4"/>
  <c r="M68" i="4"/>
  <c r="O68" i="4"/>
  <c r="H69" i="4"/>
  <c r="M69" i="4"/>
  <c r="H70" i="4"/>
  <c r="M70" i="4"/>
  <c r="O70" i="4"/>
  <c r="H71" i="4"/>
  <c r="N71" i="4"/>
  <c r="H72" i="4"/>
  <c r="H73" i="4"/>
  <c r="N73" i="4"/>
  <c r="H74" i="4"/>
  <c r="N74" i="4"/>
  <c r="H75" i="4"/>
  <c r="M75" i="4"/>
  <c r="H76" i="4"/>
  <c r="M76" i="4"/>
  <c r="H77" i="4"/>
  <c r="M77" i="4"/>
  <c r="H78" i="4"/>
  <c r="M78" i="4"/>
  <c r="H79" i="4"/>
  <c r="M79" i="4"/>
  <c r="H80" i="4"/>
  <c r="M80" i="4"/>
  <c r="O80" i="4"/>
  <c r="H81" i="4"/>
  <c r="M81" i="4"/>
  <c r="H82" i="4"/>
  <c r="M82" i="4"/>
  <c r="H83" i="4"/>
  <c r="N83" i="4"/>
  <c r="H84" i="4"/>
  <c r="H85" i="4"/>
  <c r="N85" i="4"/>
  <c r="H86" i="4"/>
  <c r="N86" i="4"/>
  <c r="H87" i="4"/>
  <c r="M87" i="4"/>
  <c r="H88" i="4"/>
  <c r="M88" i="4"/>
  <c r="H89" i="4"/>
  <c r="M89" i="4"/>
  <c r="H90" i="4"/>
  <c r="M90" i="4"/>
  <c r="H91" i="4"/>
  <c r="M91" i="4"/>
  <c r="H92" i="4"/>
  <c r="M92" i="4"/>
  <c r="O92" i="4"/>
  <c r="H93" i="4"/>
  <c r="M93" i="4"/>
  <c r="H94" i="4"/>
  <c r="M94" i="4"/>
  <c r="O94" i="4"/>
  <c r="H95" i="4"/>
  <c r="N95" i="4"/>
  <c r="H96" i="4"/>
  <c r="T293" i="4"/>
  <c r="T317" i="4"/>
  <c r="T209" i="4"/>
  <c r="T101" i="4"/>
  <c r="T172" i="4"/>
  <c r="P376" i="4"/>
  <c r="P364" i="4"/>
  <c r="P352" i="4"/>
  <c r="P340" i="4"/>
  <c r="P328" i="4"/>
  <c r="P316" i="4"/>
  <c r="P280" i="4"/>
  <c r="P268" i="4"/>
  <c r="P256" i="4"/>
  <c r="P244" i="4"/>
  <c r="P232" i="4"/>
  <c r="P220" i="4"/>
  <c r="P208" i="4"/>
  <c r="P184" i="4"/>
  <c r="P160" i="4"/>
  <c r="P148" i="4"/>
  <c r="P136" i="4"/>
  <c r="P124" i="4"/>
  <c r="T281" i="4"/>
  <c r="T185" i="4"/>
  <c r="T173" i="4"/>
  <c r="T269" i="4"/>
  <c r="T161" i="4"/>
  <c r="T377" i="4"/>
  <c r="T257" i="4"/>
  <c r="T149" i="4"/>
  <c r="P113" i="4"/>
  <c r="T365" i="4"/>
  <c r="T353" i="4"/>
  <c r="T245" i="4"/>
  <c r="T137" i="4"/>
  <c r="T125" i="4"/>
  <c r="T341" i="4"/>
  <c r="T233" i="4"/>
  <c r="T329" i="4"/>
  <c r="T221" i="4"/>
  <c r="P118" i="4"/>
  <c r="T115" i="4"/>
  <c r="T112" i="4"/>
  <c r="T97" i="4"/>
  <c r="T111" i="4"/>
  <c r="P100" i="4"/>
  <c r="T109" i="4"/>
  <c r="T216" i="4"/>
  <c r="O296" i="4"/>
  <c r="O193" i="4"/>
  <c r="O152" i="4"/>
  <c r="O224" i="4"/>
  <c r="O368" i="4"/>
  <c r="O265" i="4"/>
  <c r="O121" i="4"/>
  <c r="N372" i="4"/>
  <c r="N360" i="4"/>
  <c r="N348" i="4"/>
  <c r="N336" i="4"/>
  <c r="N324" i="4"/>
  <c r="N312" i="4"/>
  <c r="N300" i="4"/>
  <c r="N288" i="4"/>
  <c r="N276" i="4"/>
  <c r="N264" i="4"/>
  <c r="N252" i="4"/>
  <c r="N240" i="4"/>
  <c r="N228" i="4"/>
  <c r="N216" i="4"/>
  <c r="N204" i="4"/>
  <c r="N192" i="4"/>
  <c r="N180" i="4"/>
  <c r="N168" i="4"/>
  <c r="N156" i="4"/>
  <c r="N144" i="4"/>
  <c r="N132" i="4"/>
  <c r="N120" i="4"/>
  <c r="N108" i="4"/>
  <c r="O325" i="4"/>
  <c r="O253" i="4"/>
  <c r="O181" i="4"/>
  <c r="O109" i="4"/>
  <c r="N371" i="4"/>
  <c r="O371" i="4"/>
  <c r="N359" i="4"/>
  <c r="O359" i="4"/>
  <c r="N347" i="4"/>
  <c r="N335" i="4"/>
  <c r="N323" i="4"/>
  <c r="N311" i="4"/>
  <c r="N299" i="4"/>
  <c r="N287" i="4"/>
  <c r="O287" i="4"/>
  <c r="N275" i="4"/>
  <c r="O275" i="4"/>
  <c r="N263" i="4"/>
  <c r="N251" i="4"/>
  <c r="O251" i="4"/>
  <c r="N239" i="4"/>
  <c r="O239" i="4"/>
  <c r="N227" i="4"/>
  <c r="O227" i="4"/>
  <c r="N215" i="4"/>
  <c r="O215" i="4"/>
  <c r="N203" i="4"/>
  <c r="N191" i="4"/>
  <c r="N179" i="4"/>
  <c r="N167" i="4"/>
  <c r="N155" i="4"/>
  <c r="O155" i="4"/>
  <c r="N143" i="4"/>
  <c r="O143" i="4"/>
  <c r="N131" i="4"/>
  <c r="O131" i="4"/>
  <c r="N119" i="4"/>
  <c r="O119" i="4"/>
  <c r="N107" i="4"/>
  <c r="O107" i="4"/>
  <c r="O262" i="4"/>
  <c r="O190" i="4"/>
  <c r="O118" i="4"/>
  <c r="O334" i="4"/>
  <c r="O349" i="4"/>
  <c r="O277" i="4"/>
  <c r="O205" i="4"/>
  <c r="O133" i="4"/>
  <c r="T275" i="4"/>
  <c r="T228" i="4"/>
  <c r="T180" i="4"/>
  <c r="T336" i="4"/>
  <c r="T227" i="4"/>
  <c r="T179" i="4"/>
  <c r="T132" i="4"/>
  <c r="T335" i="4"/>
  <c r="T288" i="4"/>
  <c r="T240" i="4"/>
  <c r="T131" i="4"/>
  <c r="T276" i="4"/>
  <c r="T287" i="4"/>
  <c r="T239" i="4"/>
  <c r="T192" i="4"/>
  <c r="T191" i="4"/>
  <c r="T144" i="4"/>
  <c r="T348" i="4"/>
  <c r="T347" i="4"/>
  <c r="T300" i="4"/>
  <c r="T252" i="4"/>
  <c r="T143" i="4"/>
  <c r="T299" i="4"/>
  <c r="T251" i="4"/>
  <c r="T204" i="4"/>
  <c r="T360" i="4"/>
  <c r="T312" i="4"/>
  <c r="T203" i="4"/>
  <c r="T156" i="4"/>
  <c r="T108" i="4"/>
  <c r="T359" i="4"/>
  <c r="T311" i="4"/>
  <c r="T264" i="4"/>
  <c r="T155" i="4"/>
  <c r="T107" i="4"/>
  <c r="U216" i="4"/>
  <c r="U168" i="4"/>
  <c r="T263" i="4"/>
  <c r="O234" i="4"/>
  <c r="O347" i="4"/>
  <c r="O203" i="4"/>
  <c r="N96" i="4"/>
  <c r="M96" i="4"/>
  <c r="O96" i="4"/>
  <c r="N84" i="4"/>
  <c r="M84" i="4"/>
  <c r="O84" i="4"/>
  <c r="N72" i="4"/>
  <c r="M72" i="4"/>
  <c r="O72" i="4"/>
  <c r="N60" i="4"/>
  <c r="M60" i="4"/>
  <c r="M376" i="4"/>
  <c r="N376" i="4"/>
  <c r="M364" i="4"/>
  <c r="N364" i="4"/>
  <c r="M352" i="4"/>
  <c r="N352" i="4"/>
  <c r="M340" i="4"/>
  <c r="N340" i="4"/>
  <c r="M328" i="4"/>
  <c r="N328" i="4"/>
  <c r="M316" i="4"/>
  <c r="N316" i="4"/>
  <c r="M304" i="4"/>
  <c r="N304" i="4"/>
  <c r="M292" i="4"/>
  <c r="N292" i="4"/>
  <c r="M280" i="4"/>
  <c r="N280" i="4"/>
  <c r="M268" i="4"/>
  <c r="N268" i="4"/>
  <c r="M256" i="4"/>
  <c r="N256" i="4"/>
  <c r="M244" i="4"/>
  <c r="N244" i="4"/>
  <c r="M232" i="4"/>
  <c r="N232" i="4"/>
  <c r="M220" i="4"/>
  <c r="N220" i="4"/>
  <c r="M208" i="4"/>
  <c r="N208" i="4"/>
  <c r="M196" i="4"/>
  <c r="N196" i="4"/>
  <c r="M184" i="4"/>
  <c r="N184" i="4"/>
  <c r="M172" i="4"/>
  <c r="N172" i="4"/>
  <c r="M160" i="4"/>
  <c r="N160" i="4"/>
  <c r="M148" i="4"/>
  <c r="N148" i="4"/>
  <c r="M136" i="4"/>
  <c r="N136" i="4"/>
  <c r="M124" i="4"/>
  <c r="N124" i="4"/>
  <c r="M112" i="4"/>
  <c r="N112" i="4"/>
  <c r="M100" i="4"/>
  <c r="N100" i="4"/>
  <c r="O335" i="4"/>
  <c r="O263" i="4"/>
  <c r="O191" i="4"/>
  <c r="O95" i="4"/>
  <c r="O83" i="4"/>
  <c r="O71" i="4"/>
  <c r="O323" i="4"/>
  <c r="O179" i="4"/>
  <c r="O82" i="4"/>
  <c r="O313" i="4"/>
  <c r="O241" i="4"/>
  <c r="O169" i="4"/>
  <c r="O97" i="4"/>
  <c r="O259" i="4"/>
  <c r="O311" i="4"/>
  <c r="O167" i="4"/>
  <c r="O75" i="4"/>
  <c r="O79" i="4"/>
  <c r="O373" i="4"/>
  <c r="O301" i="4"/>
  <c r="O229" i="4"/>
  <c r="O157" i="4"/>
  <c r="O90" i="4"/>
  <c r="O370" i="4"/>
  <c r="O298" i="4"/>
  <c r="O226" i="4"/>
  <c r="O154" i="4"/>
  <c r="O299" i="4"/>
  <c r="O76" i="4"/>
  <c r="O89" i="4"/>
  <c r="O65" i="4"/>
  <c r="O369" i="4"/>
  <c r="O361" i="4"/>
  <c r="O289" i="4"/>
  <c r="O217" i="4"/>
  <c r="O145" i="4"/>
  <c r="M374" i="4"/>
  <c r="O374" i="4"/>
  <c r="M362" i="4"/>
  <c r="O362" i="4"/>
  <c r="M350" i="4"/>
  <c r="O350" i="4"/>
  <c r="M338" i="4"/>
  <c r="O338" i="4"/>
  <c r="M326" i="4"/>
  <c r="O326" i="4"/>
  <c r="M314" i="4"/>
  <c r="O314" i="4"/>
  <c r="M302" i="4"/>
  <c r="O302" i="4"/>
  <c r="M290" i="4"/>
  <c r="O290" i="4"/>
  <c r="M278" i="4"/>
  <c r="O278" i="4"/>
  <c r="M266" i="4"/>
  <c r="O266" i="4"/>
  <c r="M254" i="4"/>
  <c r="O254" i="4"/>
  <c r="M242" i="4"/>
  <c r="O242" i="4"/>
  <c r="M230" i="4"/>
  <c r="O230" i="4"/>
  <c r="M218" i="4"/>
  <c r="O218" i="4"/>
  <c r="M206" i="4"/>
  <c r="O206" i="4"/>
  <c r="M194" i="4"/>
  <c r="O194" i="4"/>
  <c r="M182" i="4"/>
  <c r="O182" i="4"/>
  <c r="M170" i="4"/>
  <c r="O170" i="4"/>
  <c r="M158" i="4"/>
  <c r="O158" i="4"/>
  <c r="M146" i="4"/>
  <c r="O146" i="4"/>
  <c r="M134" i="4"/>
  <c r="O134" i="4"/>
  <c r="M122" i="4"/>
  <c r="O122" i="4"/>
  <c r="M110" i="4"/>
  <c r="O110" i="4"/>
  <c r="M98" i="4"/>
  <c r="O98" i="4"/>
  <c r="M86" i="4"/>
  <c r="O86" i="4"/>
  <c r="M74" i="4"/>
  <c r="O74" i="4"/>
  <c r="M62" i="4"/>
  <c r="O62" i="4"/>
  <c r="M372" i="4"/>
  <c r="O372" i="4"/>
  <c r="M360" i="4"/>
  <c r="M348" i="4"/>
  <c r="O348" i="4"/>
  <c r="M336" i="4"/>
  <c r="M324" i="4"/>
  <c r="M312" i="4"/>
  <c r="O312" i="4"/>
  <c r="M300" i="4"/>
  <c r="O300" i="4"/>
  <c r="M288" i="4"/>
  <c r="O288" i="4"/>
  <c r="M276" i="4"/>
  <c r="O276" i="4"/>
  <c r="M264" i="4"/>
  <c r="O264" i="4"/>
  <c r="M252" i="4"/>
  <c r="O252" i="4"/>
  <c r="M240" i="4"/>
  <c r="O240" i="4"/>
  <c r="M228" i="4"/>
  <c r="O228" i="4"/>
  <c r="M216" i="4"/>
  <c r="M204" i="4"/>
  <c r="O204" i="4"/>
  <c r="M192" i="4"/>
  <c r="M180" i="4"/>
  <c r="M168" i="4"/>
  <c r="O168" i="4"/>
  <c r="M156" i="4"/>
  <c r="O156" i="4"/>
  <c r="M144" i="4"/>
  <c r="O144" i="4"/>
  <c r="M132" i="4"/>
  <c r="O132" i="4"/>
  <c r="M120" i="4"/>
  <c r="O120" i="4"/>
  <c r="M108" i="4"/>
  <c r="O108" i="4"/>
  <c r="N369" i="4"/>
  <c r="N357" i="4"/>
  <c r="O357" i="4"/>
  <c r="N345" i="4"/>
  <c r="O345" i="4"/>
  <c r="N333" i="4"/>
  <c r="O333" i="4"/>
  <c r="N321" i="4"/>
  <c r="O321" i="4"/>
  <c r="N309" i="4"/>
  <c r="O309" i="4"/>
  <c r="N297" i="4"/>
  <c r="O297" i="4"/>
  <c r="N285" i="4"/>
  <c r="O285" i="4"/>
  <c r="N273" i="4"/>
  <c r="O273" i="4"/>
  <c r="N261" i="4"/>
  <c r="O261" i="4"/>
  <c r="N249" i="4"/>
  <c r="O249" i="4"/>
  <c r="N237" i="4"/>
  <c r="O237" i="4"/>
  <c r="N225" i="4"/>
  <c r="O225" i="4"/>
  <c r="N213" i="4"/>
  <c r="O213" i="4"/>
  <c r="N201" i="4"/>
  <c r="O201" i="4"/>
  <c r="N189" i="4"/>
  <c r="O189" i="4"/>
  <c r="N177" i="4"/>
  <c r="O177" i="4"/>
  <c r="N165" i="4"/>
  <c r="O165" i="4"/>
  <c r="N153" i="4"/>
  <c r="O153" i="4"/>
  <c r="N141" i="4"/>
  <c r="O141" i="4"/>
  <c r="N129" i="4"/>
  <c r="O129" i="4"/>
  <c r="N117" i="4"/>
  <c r="O117" i="4"/>
  <c r="N105" i="4"/>
  <c r="O105" i="4"/>
  <c r="N93" i="4"/>
  <c r="O93" i="4"/>
  <c r="N81" i="4"/>
  <c r="O81" i="4"/>
  <c r="N69" i="4"/>
  <c r="O69" i="4"/>
  <c r="N379" i="4"/>
  <c r="O379" i="4"/>
  <c r="N367" i="4"/>
  <c r="O367" i="4"/>
  <c r="N355" i="4"/>
  <c r="O355" i="4"/>
  <c r="N343" i="4"/>
  <c r="O343" i="4"/>
  <c r="N331" i="4"/>
  <c r="O331" i="4"/>
  <c r="N319" i="4"/>
  <c r="O319" i="4"/>
  <c r="N307" i="4"/>
  <c r="O307" i="4"/>
  <c r="N295" i="4"/>
  <c r="O295" i="4"/>
  <c r="N283" i="4"/>
  <c r="O283" i="4"/>
  <c r="N271" i="4"/>
  <c r="O271" i="4"/>
  <c r="N259" i="4"/>
  <c r="N247" i="4"/>
  <c r="O247" i="4"/>
  <c r="N235" i="4"/>
  <c r="O235" i="4"/>
  <c r="N223" i="4"/>
  <c r="O223" i="4"/>
  <c r="N211" i="4"/>
  <c r="O211" i="4"/>
  <c r="N199" i="4"/>
  <c r="O199" i="4"/>
  <c r="N187" i="4"/>
  <c r="O187" i="4"/>
  <c r="N175" i="4"/>
  <c r="O175" i="4"/>
  <c r="N163" i="4"/>
  <c r="O163" i="4"/>
  <c r="N151" i="4"/>
  <c r="O151" i="4"/>
  <c r="N139" i="4"/>
  <c r="O139" i="4"/>
  <c r="N127" i="4"/>
  <c r="O127" i="4"/>
  <c r="N115" i="4"/>
  <c r="O115" i="4"/>
  <c r="N103" i="4"/>
  <c r="O103" i="4"/>
  <c r="N91" i="4"/>
  <c r="O91" i="4"/>
  <c r="N79" i="4"/>
  <c r="N67" i="4"/>
  <c r="O67" i="4"/>
  <c r="N378" i="4"/>
  <c r="O378" i="4"/>
  <c r="N366" i="4"/>
  <c r="O366" i="4"/>
  <c r="N354" i="4"/>
  <c r="O354" i="4"/>
  <c r="N342" i="4"/>
  <c r="O342" i="4"/>
  <c r="N330" i="4"/>
  <c r="O330" i="4"/>
  <c r="N318" i="4"/>
  <c r="O318" i="4"/>
  <c r="N306" i="4"/>
  <c r="O306" i="4"/>
  <c r="N294" i="4"/>
  <c r="O294" i="4"/>
  <c r="N282" i="4"/>
  <c r="O282" i="4"/>
  <c r="N270" i="4"/>
  <c r="O270" i="4"/>
  <c r="N258" i="4"/>
  <c r="O258" i="4"/>
  <c r="N246" i="4"/>
  <c r="O246" i="4"/>
  <c r="N234" i="4"/>
  <c r="N222" i="4"/>
  <c r="O222" i="4"/>
  <c r="N210" i="4"/>
  <c r="O210" i="4"/>
  <c r="N198" i="4"/>
  <c r="O198" i="4"/>
  <c r="N186" i="4"/>
  <c r="O186" i="4"/>
  <c r="N174" i="4"/>
  <c r="O174" i="4"/>
  <c r="N162" i="4"/>
  <c r="O162" i="4"/>
  <c r="N150" i="4"/>
  <c r="O150" i="4"/>
  <c r="N138" i="4"/>
  <c r="O138" i="4"/>
  <c r="N126" i="4"/>
  <c r="O126" i="4"/>
  <c r="N114" i="4"/>
  <c r="O114" i="4"/>
  <c r="N102" i="4"/>
  <c r="O102" i="4"/>
  <c r="N90" i="4"/>
  <c r="N78" i="4"/>
  <c r="O78" i="4"/>
  <c r="N66" i="4"/>
  <c r="O66" i="4"/>
  <c r="N377" i="4"/>
  <c r="O377" i="4"/>
  <c r="N365" i="4"/>
  <c r="O365" i="4"/>
  <c r="N353" i="4"/>
  <c r="O353" i="4"/>
  <c r="N341" i="4"/>
  <c r="O341" i="4"/>
  <c r="N329" i="4"/>
  <c r="O329" i="4"/>
  <c r="N317" i="4"/>
  <c r="O317" i="4"/>
  <c r="N305" i="4"/>
  <c r="O305" i="4"/>
  <c r="N293" i="4"/>
  <c r="O293" i="4"/>
  <c r="N281" i="4"/>
  <c r="O281" i="4"/>
  <c r="N269" i="4"/>
  <c r="O269" i="4"/>
  <c r="N257" i="4"/>
  <c r="O257" i="4"/>
  <c r="N245" i="4"/>
  <c r="O245" i="4"/>
  <c r="N233" i="4"/>
  <c r="O233" i="4"/>
  <c r="N221" i="4"/>
  <c r="O221" i="4"/>
  <c r="N209" i="4"/>
  <c r="O209" i="4"/>
  <c r="N197" i="4"/>
  <c r="O197" i="4"/>
  <c r="N185" i="4"/>
  <c r="O185" i="4"/>
  <c r="N173" i="4"/>
  <c r="O173" i="4"/>
  <c r="N161" i="4"/>
  <c r="O161" i="4"/>
  <c r="N149" i="4"/>
  <c r="O149" i="4"/>
  <c r="N137" i="4"/>
  <c r="O137" i="4"/>
  <c r="N125" i="4"/>
  <c r="O125" i="4"/>
  <c r="N113" i="4"/>
  <c r="O113" i="4"/>
  <c r="N101" i="4"/>
  <c r="O101" i="4"/>
  <c r="N89" i="4"/>
  <c r="N77" i="4"/>
  <c r="O77" i="4"/>
  <c r="N65" i="4"/>
  <c r="N88" i="4"/>
  <c r="O88" i="4"/>
  <c r="N76" i="4"/>
  <c r="N64" i="4"/>
  <c r="O64" i="4"/>
  <c r="N375" i="4"/>
  <c r="O375" i="4"/>
  <c r="N363" i="4"/>
  <c r="O363" i="4"/>
  <c r="N351" i="4"/>
  <c r="O351" i="4"/>
  <c r="N339" i="4"/>
  <c r="O339" i="4"/>
  <c r="N327" i="4"/>
  <c r="O327" i="4"/>
  <c r="N315" i="4"/>
  <c r="O315" i="4"/>
  <c r="N303" i="4"/>
  <c r="O303" i="4"/>
  <c r="N291" i="4"/>
  <c r="O291" i="4"/>
  <c r="N279" i="4"/>
  <c r="O279" i="4"/>
  <c r="N267" i="4"/>
  <c r="O267" i="4"/>
  <c r="N255" i="4"/>
  <c r="O255" i="4"/>
  <c r="N243" i="4"/>
  <c r="O243" i="4"/>
  <c r="N231" i="4"/>
  <c r="O231" i="4"/>
  <c r="N219" i="4"/>
  <c r="O219" i="4"/>
  <c r="N207" i="4"/>
  <c r="O207" i="4"/>
  <c r="N195" i="4"/>
  <c r="O195" i="4"/>
  <c r="N183" i="4"/>
  <c r="O183" i="4"/>
  <c r="N171" i="4"/>
  <c r="O171" i="4"/>
  <c r="N159" i="4"/>
  <c r="O159" i="4"/>
  <c r="N147" i="4"/>
  <c r="O147" i="4"/>
  <c r="N135" i="4"/>
  <c r="O135" i="4"/>
  <c r="N123" i="4"/>
  <c r="O123" i="4"/>
  <c r="N111" i="4"/>
  <c r="O111" i="4"/>
  <c r="N99" i="4"/>
  <c r="O99" i="4"/>
  <c r="N87" i="4"/>
  <c r="O87" i="4"/>
  <c r="N75" i="4"/>
  <c r="N63" i="4"/>
  <c r="O63" i="4"/>
  <c r="O180" i="4"/>
  <c r="O324" i="4"/>
  <c r="O100" i="4"/>
  <c r="O172" i="4"/>
  <c r="O192" i="4"/>
  <c r="O336" i="4"/>
  <c r="O216" i="4"/>
  <c r="O360" i="4"/>
  <c r="O124" i="4"/>
  <c r="O244" i="4"/>
  <c r="O316" i="4"/>
  <c r="O160" i="4"/>
  <c r="O232" i="4"/>
  <c r="O304" i="4"/>
  <c r="O376" i="4"/>
  <c r="O60" i="4"/>
  <c r="O112" i="4"/>
  <c r="O184" i="4"/>
  <c r="O256" i="4"/>
  <c r="O328" i="4"/>
  <c r="O196" i="4"/>
  <c r="O268" i="4"/>
  <c r="O340" i="4"/>
  <c r="O136" i="4"/>
  <c r="O208" i="4"/>
  <c r="O280" i="4"/>
  <c r="O352" i="4"/>
  <c r="O148" i="4"/>
  <c r="O220" i="4"/>
  <c r="O292" i="4"/>
  <c r="O364"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59" i="4"/>
  <c r="Y55" i="4"/>
  <c r="Y57" i="4"/>
  <c r="X57" i="4"/>
  <c r="M49" i="4"/>
  <c r="I5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M30" i="4"/>
  <c r="H31" i="4"/>
  <c r="H32" i="4"/>
  <c r="N32" i="4"/>
  <c r="H33" i="4"/>
  <c r="N33" i="4"/>
  <c r="H34" i="4"/>
  <c r="H35" i="4"/>
  <c r="N35" i="4"/>
  <c r="H36" i="4"/>
  <c r="N36" i="4"/>
  <c r="H37" i="4"/>
  <c r="N37" i="4"/>
  <c r="H38" i="4"/>
  <c r="M38" i="4"/>
  <c r="H39" i="4"/>
  <c r="M39" i="4"/>
  <c r="H40" i="4"/>
  <c r="N40" i="4"/>
  <c r="H41" i="4"/>
  <c r="H42" i="4"/>
  <c r="N42" i="4"/>
  <c r="H43" i="4"/>
  <c r="H44" i="4"/>
  <c r="N44" i="4"/>
  <c r="H45" i="4"/>
  <c r="N45" i="4"/>
  <c r="H46" i="4"/>
  <c r="H47" i="4"/>
  <c r="N47" i="4"/>
  <c r="H48" i="4"/>
  <c r="N48" i="4"/>
  <c r="H49" i="4"/>
  <c r="N49" i="4"/>
  <c r="H50" i="4"/>
  <c r="M50" i="4"/>
  <c r="H51" i="4"/>
  <c r="M51" i="4"/>
  <c r="H52" i="4"/>
  <c r="N52" i="4"/>
  <c r="H53" i="4"/>
  <c r="H54" i="4"/>
  <c r="N54" i="4"/>
  <c r="H55" i="4"/>
  <c r="N55" i="4"/>
  <c r="H56" i="4"/>
  <c r="N56" i="4"/>
  <c r="H57" i="4"/>
  <c r="N57" i="4"/>
  <c r="H58" i="4"/>
  <c r="H59" i="4"/>
  <c r="M33" i="4"/>
  <c r="M45" i="4"/>
  <c r="R8" i="4"/>
  <c r="M48" i="4"/>
  <c r="M36" i="4"/>
  <c r="M37" i="4"/>
  <c r="N59" i="4"/>
  <c r="L55" i="4"/>
  <c r="L43" i="4"/>
  <c r="L31" i="4"/>
  <c r="N43" i="4"/>
  <c r="M53" i="4"/>
  <c r="M41" i="4"/>
  <c r="M58" i="4"/>
  <c r="M46" i="4"/>
  <c r="M34" i="4"/>
  <c r="N31" i="4"/>
  <c r="M57" i="4"/>
  <c r="M52" i="4"/>
  <c r="M40" i="4"/>
  <c r="K55" i="4"/>
  <c r="K31" i="4"/>
  <c r="K43" i="4"/>
  <c r="L52" i="4"/>
  <c r="O52" i="4"/>
  <c r="P52" i="4"/>
  <c r="L40" i="4"/>
  <c r="O40" i="4"/>
  <c r="P40" i="4"/>
  <c r="M59" i="4"/>
  <c r="M47" i="4"/>
  <c r="M35" i="4"/>
  <c r="N53" i="4"/>
  <c r="N41" i="4"/>
  <c r="L42" i="4"/>
  <c r="L41" i="4"/>
  <c r="L51" i="4"/>
  <c r="K51" i="4"/>
  <c r="L38" i="4"/>
  <c r="K38" i="4"/>
  <c r="N51" i="4"/>
  <c r="N39" i="4"/>
  <c r="L53" i="4"/>
  <c r="L50" i="4"/>
  <c r="L49" i="4"/>
  <c r="O49" i="4"/>
  <c r="P49" i="4"/>
  <c r="L37" i="4"/>
  <c r="M56" i="4"/>
  <c r="M44" i="4"/>
  <c r="M32" i="4"/>
  <c r="N50" i="4"/>
  <c r="N38" i="4"/>
  <c r="L39" i="4"/>
  <c r="K39" i="4"/>
  <c r="L48" i="4"/>
  <c r="L36" i="4"/>
  <c r="M55" i="4"/>
  <c r="O55" i="4"/>
  <c r="P55" i="4"/>
  <c r="M43" i="4"/>
  <c r="O43" i="4"/>
  <c r="P43" i="4"/>
  <c r="M31" i="4"/>
  <c r="O31" i="4"/>
  <c r="P31" i="4"/>
  <c r="L59" i="4"/>
  <c r="L47" i="4"/>
  <c r="L35" i="4"/>
  <c r="K35" i="4"/>
  <c r="M54" i="4"/>
  <c r="M42" i="4"/>
  <c r="N30" i="4"/>
  <c r="L54" i="4"/>
  <c r="L58" i="4"/>
  <c r="L46" i="4"/>
  <c r="L34" i="4"/>
  <c r="L30" i="4"/>
  <c r="L57" i="4"/>
  <c r="L45" i="4"/>
  <c r="L33" i="4"/>
  <c r="N58" i="4"/>
  <c r="N46" i="4"/>
  <c r="N34" i="4"/>
  <c r="L56" i="4"/>
  <c r="L44" i="4"/>
  <c r="L32" i="4"/>
  <c r="O58" i="4"/>
  <c r="P58" i="4"/>
  <c r="O41" i="4"/>
  <c r="P41" i="4"/>
  <c r="K49" i="4"/>
  <c r="O47" i="4"/>
  <c r="P47" i="4"/>
  <c r="O37" i="4"/>
  <c r="P37" i="4"/>
  <c r="O50" i="4"/>
  <c r="P50" i="4"/>
  <c r="K41" i="4"/>
  <c r="O34" i="4"/>
  <c r="P34" i="4"/>
  <c r="O46" i="4"/>
  <c r="P46" i="4"/>
  <c r="K30" i="4"/>
  <c r="O30" i="4"/>
  <c r="P30" i="4"/>
  <c r="O53" i="4"/>
  <c r="P53" i="4"/>
  <c r="K58" i="4"/>
  <c r="K48" i="4"/>
  <c r="O48" i="4"/>
  <c r="P48" i="4"/>
  <c r="K46" i="4"/>
  <c r="K54" i="4"/>
  <c r="O54" i="4"/>
  <c r="P54" i="4"/>
  <c r="O39" i="4"/>
  <c r="P39" i="4"/>
  <c r="O38" i="4"/>
  <c r="P38" i="4"/>
  <c r="O32" i="4"/>
  <c r="P32" i="4"/>
  <c r="K32" i="4"/>
  <c r="K56" i="4"/>
  <c r="O56" i="4"/>
  <c r="P56" i="4"/>
  <c r="K50" i="4"/>
  <c r="O51" i="4"/>
  <c r="P51" i="4"/>
  <c r="K59" i="4"/>
  <c r="O59" i="4"/>
  <c r="P59" i="4"/>
  <c r="K44" i="4"/>
  <c r="O44" i="4"/>
  <c r="P44" i="4"/>
  <c r="K33" i="4"/>
  <c r="O33" i="4"/>
  <c r="P33" i="4"/>
  <c r="K36" i="4"/>
  <c r="O36" i="4"/>
  <c r="P36" i="4"/>
  <c r="K52" i="4"/>
  <c r="K45" i="4"/>
  <c r="O45" i="4"/>
  <c r="P45" i="4"/>
  <c r="O42" i="4"/>
  <c r="P42" i="4"/>
  <c r="K42" i="4"/>
  <c r="K47" i="4"/>
  <c r="K34" i="4"/>
  <c r="K37" i="4"/>
  <c r="K40" i="4"/>
  <c r="K53" i="4"/>
  <c r="K57" i="4"/>
  <c r="O57" i="4"/>
  <c r="P57" i="4"/>
  <c r="O35" i="4"/>
  <c r="P35" i="4"/>
  <c r="J12" i="8" a="1"/>
  <c r="J7" i="5" a="1"/>
  <c r="J13" i="12" a="1"/>
  <c r="J12" i="11" a="1"/>
  <c r="J12" i="10" a="1"/>
  <c r="J13" i="10" a="1"/>
  <c r="J9" i="5" a="1"/>
  <c r="J13" i="11" a="1"/>
  <c r="J12" i="12" a="1"/>
  <c r="J12" i="8" l="1"/>
  <c r="J13" i="8" s="1"/>
  <c r="J23" i="8" s="1"/>
  <c r="J27" i="8"/>
  <c r="F42" i="8" s="1"/>
  <c r="D30" i="12"/>
  <c r="J12" i="12"/>
  <c r="J13" i="12"/>
  <c r="J26" i="12"/>
  <c r="F34" i="12" s="1"/>
  <c r="J25" i="12"/>
  <c r="E34" i="12" s="1"/>
  <c r="J16" i="10"/>
  <c r="J16" i="11"/>
  <c r="J13" i="11"/>
  <c r="J14" i="11" s="1"/>
  <c r="J26" i="11" s="1"/>
  <c r="F33" i="11" s="1"/>
  <c r="J12" i="11"/>
  <c r="J12" i="10"/>
  <c r="J13" i="10"/>
  <c r="J26" i="10"/>
  <c r="F33" i="10" s="1"/>
  <c r="J25" i="10"/>
  <c r="E33" i="10" s="1"/>
  <c r="J7" i="5"/>
  <c r="J9" i="5"/>
  <c r="J13" i="5" a="1"/>
  <c r="J11" i="8" a="1"/>
  <c r="J12" i="5" a="1"/>
  <c r="J17" i="12" l="1"/>
  <c r="J25" i="11"/>
  <c r="E33" i="11" s="1"/>
  <c r="J17" i="11"/>
  <c r="J22" i="11" s="1"/>
  <c r="J23" i="11" s="1"/>
  <c r="J20" i="11"/>
  <c r="J17" i="10"/>
  <c r="J22" i="10" s="1"/>
  <c r="J23" i="10" s="1"/>
  <c r="J20" i="10"/>
  <c r="J11" i="8"/>
  <c r="J26" i="8"/>
  <c r="E42" i="8" s="1"/>
  <c r="J13" i="5"/>
  <c r="N12" i="5" s="1"/>
  <c r="J12" i="5"/>
  <c r="J22" i="12" l="1"/>
  <c r="J23" i="12" s="1"/>
  <c r="E30" i="12"/>
  <c r="F30" i="12" s="1"/>
  <c r="J21" i="12"/>
  <c r="C30" i="12" s="1"/>
  <c r="J21" i="11"/>
  <c r="E29" i="11"/>
  <c r="E29" i="10"/>
  <c r="G36" i="8"/>
  <c r="J24" i="8" l="1"/>
  <c r="C29" i="11"/>
  <c r="F29" i="11"/>
  <c r="F29" i="10"/>
  <c r="C29" i="10"/>
  <c r="J22" i="8"/>
  <c r="H36"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MSK</author>
  </authors>
  <commentList>
    <comment ref="C3" authorId="0" shapeId="0" xr:uid="{B0B24BD3-4A0F-4017-A28E-4181D61A97AE}">
      <text>
        <r>
          <rPr>
            <sz val="9"/>
            <color indexed="54"/>
            <rFont val="Tahoma"/>
            <family val="2"/>
          </rPr>
          <t>Default
원
천원
만원
백만원
억원
십억원</t>
        </r>
      </text>
    </comment>
    <comment ref="B5" authorId="0" shapeId="0" xr:uid="{9CA2717C-94BD-423C-9022-3654FCECA5CF}">
      <text>
        <r>
          <rPr>
            <sz val="9"/>
            <color indexed="54"/>
            <rFont val="Tahoma"/>
            <family val="2"/>
          </rPr>
          <t>일간
주간
월간
분기간
년간</t>
        </r>
      </text>
    </comment>
    <comment ref="C5" authorId="0" shapeId="0" xr:uid="{18661B1A-55D5-4174-A345-95882D7E70EF}">
      <text>
        <r>
          <rPr>
            <sz val="9"/>
            <color indexed="54"/>
            <rFont val="Tahoma"/>
            <family val="2"/>
          </rPr>
          <t>Local
KRW
USD</t>
        </r>
      </text>
    </comment>
    <comment ref="A6" authorId="0" shapeId="0" xr:uid="{AAFB0A6D-6E2E-456A-A8EE-D53F62C53EC7}">
      <text>
        <r>
          <rPr>
            <sz val="9"/>
            <color indexed="54"/>
            <rFont val="Tahoma"/>
            <family val="2"/>
          </rPr>
          <t>주간,월간,분기간,년간 : Exclusive 제외</t>
        </r>
      </text>
    </comment>
    <comment ref="B6" authorId="0" shapeId="0" xr:uid="{F8339C15-D683-4973-83D0-CC9671637751}">
      <text>
        <r>
          <rPr>
            <sz val="9"/>
            <color indexed="54"/>
            <rFont val="Tahoma"/>
            <family val="2"/>
          </rPr>
          <t>Exclusive
N/A
NULL
Previous</t>
        </r>
      </text>
    </comment>
    <comment ref="C6" authorId="0" shapeId="0" xr:uid="{508413F9-F8FB-4FCE-9EEB-9AEC8702D7FD}">
      <text>
        <r>
          <rPr>
            <sz val="9"/>
            <color indexed="54"/>
            <rFont val="Tahoma"/>
            <family val="2"/>
          </rPr>
          <t>Asc
Desc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MSK</author>
  </authors>
  <commentList>
    <comment ref="F7" authorId="0" shapeId="0" xr:uid="{BE0B4B23-57F0-463E-BE87-8A49A8F81802}">
      <text>
        <r>
          <rPr>
            <b/>
            <sz val="9"/>
            <color indexed="81"/>
            <rFont val="Tahoma"/>
            <family val="2"/>
          </rPr>
          <t>MSK:</t>
        </r>
        <r>
          <rPr>
            <sz val="9"/>
            <color indexed="81"/>
            <rFont val="Tahoma"/>
            <family val="2"/>
          </rPr>
          <t xml:space="preserve">
</t>
        </r>
        <r>
          <rPr>
            <sz val="9"/>
            <color indexed="81"/>
            <rFont val="돋움"/>
            <family val="3"/>
            <charset val="129"/>
          </rPr>
          <t>자기주식에</t>
        </r>
        <r>
          <rPr>
            <sz val="9"/>
            <color indexed="81"/>
            <rFont val="Tahoma"/>
            <family val="2"/>
          </rPr>
          <t xml:space="preserve"> </t>
        </r>
        <r>
          <rPr>
            <sz val="9"/>
            <color indexed="81"/>
            <rFont val="돋움"/>
            <family val="3"/>
            <charset val="129"/>
          </rPr>
          <t>대해서는</t>
        </r>
        <r>
          <rPr>
            <sz val="9"/>
            <color indexed="81"/>
            <rFont val="Tahoma"/>
            <family val="2"/>
          </rPr>
          <t xml:space="preserve"> </t>
        </r>
        <r>
          <rPr>
            <sz val="9"/>
            <color indexed="81"/>
            <rFont val="돋움"/>
            <family val="3"/>
            <charset val="129"/>
          </rPr>
          <t>신주인수권이</t>
        </r>
        <r>
          <rPr>
            <sz val="9"/>
            <color indexed="81"/>
            <rFont val="Tahoma"/>
            <family val="2"/>
          </rPr>
          <t xml:space="preserve"> </t>
        </r>
        <r>
          <rPr>
            <sz val="9"/>
            <color indexed="81"/>
            <rFont val="돋움"/>
            <family val="3"/>
            <charset val="129"/>
          </rPr>
          <t>없음</t>
        </r>
        <r>
          <rPr>
            <sz val="9"/>
            <color indexed="81"/>
            <rFont val="Tahoma"/>
            <family val="2"/>
          </rPr>
          <t xml:space="preserve">. 
</t>
        </r>
        <r>
          <rPr>
            <sz val="9"/>
            <color indexed="81"/>
            <rFont val="돋움"/>
            <family val="3"/>
            <charset val="129"/>
          </rPr>
          <t>사업보고서에서</t>
        </r>
        <r>
          <rPr>
            <sz val="9"/>
            <color indexed="81"/>
            <rFont val="Tahoma"/>
            <family val="2"/>
          </rPr>
          <t xml:space="preserve"> </t>
        </r>
        <r>
          <rPr>
            <sz val="9"/>
            <color indexed="81"/>
            <rFont val="돋움"/>
            <family val="3"/>
            <charset val="129"/>
          </rPr>
          <t>확인</t>
        </r>
        <r>
          <rPr>
            <sz val="9"/>
            <color indexed="81"/>
            <rFont val="Tahoma"/>
            <family val="2"/>
          </rPr>
          <t xml:space="preserve"> </t>
        </r>
        <r>
          <rPr>
            <sz val="9"/>
            <color indexed="81"/>
            <rFont val="돋움"/>
            <family val="3"/>
            <charset val="129"/>
          </rPr>
          <t>가능</t>
        </r>
        <r>
          <rPr>
            <sz val="9"/>
            <color indexed="81"/>
            <rFont val="Tahoma"/>
            <family val="2"/>
          </rPr>
          <t>(</t>
        </r>
        <r>
          <rPr>
            <sz val="9"/>
            <color indexed="81"/>
            <rFont val="돋움"/>
            <family val="3"/>
            <charset val="129"/>
          </rPr>
          <t>주식의</t>
        </r>
        <r>
          <rPr>
            <sz val="9"/>
            <color indexed="81"/>
            <rFont val="Tahoma"/>
            <family val="2"/>
          </rPr>
          <t xml:space="preserve"> </t>
        </r>
        <r>
          <rPr>
            <sz val="9"/>
            <color indexed="81"/>
            <rFont val="돋움"/>
            <family val="3"/>
            <charset val="129"/>
          </rPr>
          <t>총수</t>
        </r>
        <r>
          <rPr>
            <sz val="9"/>
            <color indexed="81"/>
            <rFont val="Tahoma"/>
            <family val="2"/>
          </rPr>
          <t xml:space="preserve"> </t>
        </r>
        <r>
          <rPr>
            <sz val="9"/>
            <color indexed="81"/>
            <rFont val="돋움"/>
            <family val="3"/>
            <charset val="129"/>
          </rPr>
          <t>현황</t>
        </r>
        <r>
          <rPr>
            <sz val="9"/>
            <color indexed="81"/>
            <rFont val="Tahoma"/>
            <family val="2"/>
          </rPr>
          <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MSK</author>
  </authors>
  <commentList>
    <comment ref="F9" authorId="0" shapeId="0" xr:uid="{30D12A7B-07A8-486D-9CD3-62D5A292CD4B}">
      <text>
        <r>
          <rPr>
            <b/>
            <sz val="9"/>
            <color indexed="81"/>
            <rFont val="Tahoma"/>
            <family val="2"/>
          </rPr>
          <t>MSK:</t>
        </r>
        <r>
          <rPr>
            <sz val="9"/>
            <color indexed="81"/>
            <rFont val="Tahoma"/>
            <family val="2"/>
          </rPr>
          <t xml:space="preserve">
</t>
        </r>
        <r>
          <rPr>
            <sz val="9"/>
            <color indexed="81"/>
            <rFont val="돋움"/>
            <family val="3"/>
            <charset val="129"/>
          </rPr>
          <t>자기주식에</t>
        </r>
        <r>
          <rPr>
            <sz val="9"/>
            <color indexed="81"/>
            <rFont val="Tahoma"/>
            <family val="2"/>
          </rPr>
          <t xml:space="preserve"> </t>
        </r>
        <r>
          <rPr>
            <sz val="9"/>
            <color indexed="81"/>
            <rFont val="돋움"/>
            <family val="3"/>
            <charset val="129"/>
          </rPr>
          <t>대해서는</t>
        </r>
        <r>
          <rPr>
            <sz val="9"/>
            <color indexed="81"/>
            <rFont val="Tahoma"/>
            <family val="2"/>
          </rPr>
          <t xml:space="preserve"> </t>
        </r>
        <r>
          <rPr>
            <sz val="9"/>
            <color indexed="81"/>
            <rFont val="돋움"/>
            <family val="3"/>
            <charset val="129"/>
          </rPr>
          <t>신주인수권이</t>
        </r>
        <r>
          <rPr>
            <sz val="9"/>
            <color indexed="81"/>
            <rFont val="Tahoma"/>
            <family val="2"/>
          </rPr>
          <t xml:space="preserve"> </t>
        </r>
        <r>
          <rPr>
            <sz val="9"/>
            <color indexed="81"/>
            <rFont val="돋움"/>
            <family val="3"/>
            <charset val="129"/>
          </rPr>
          <t>없음</t>
        </r>
        <r>
          <rPr>
            <sz val="9"/>
            <color indexed="81"/>
            <rFont val="Tahoma"/>
            <family val="2"/>
          </rPr>
          <t xml:space="preserve">. 
</t>
        </r>
        <r>
          <rPr>
            <sz val="9"/>
            <color indexed="81"/>
            <rFont val="돋움"/>
            <family val="3"/>
            <charset val="129"/>
          </rPr>
          <t>사업보고서에서</t>
        </r>
        <r>
          <rPr>
            <sz val="9"/>
            <color indexed="81"/>
            <rFont val="Tahoma"/>
            <family val="2"/>
          </rPr>
          <t xml:space="preserve"> </t>
        </r>
        <r>
          <rPr>
            <sz val="9"/>
            <color indexed="81"/>
            <rFont val="돋움"/>
            <family val="3"/>
            <charset val="129"/>
          </rPr>
          <t>확인</t>
        </r>
        <r>
          <rPr>
            <sz val="9"/>
            <color indexed="81"/>
            <rFont val="Tahoma"/>
            <family val="2"/>
          </rPr>
          <t xml:space="preserve"> </t>
        </r>
        <r>
          <rPr>
            <sz val="9"/>
            <color indexed="81"/>
            <rFont val="돋움"/>
            <family val="3"/>
            <charset val="129"/>
          </rPr>
          <t>가능</t>
        </r>
        <r>
          <rPr>
            <sz val="9"/>
            <color indexed="81"/>
            <rFont val="Tahoma"/>
            <family val="2"/>
          </rPr>
          <t>(</t>
        </r>
        <r>
          <rPr>
            <sz val="9"/>
            <color indexed="81"/>
            <rFont val="돋움"/>
            <family val="3"/>
            <charset val="129"/>
          </rPr>
          <t>주식의</t>
        </r>
        <r>
          <rPr>
            <sz val="9"/>
            <color indexed="81"/>
            <rFont val="Tahoma"/>
            <family val="2"/>
          </rPr>
          <t xml:space="preserve"> </t>
        </r>
        <r>
          <rPr>
            <sz val="9"/>
            <color indexed="81"/>
            <rFont val="돋움"/>
            <family val="3"/>
            <charset val="129"/>
          </rPr>
          <t>총수</t>
        </r>
        <r>
          <rPr>
            <sz val="9"/>
            <color indexed="81"/>
            <rFont val="Tahoma"/>
            <family val="2"/>
          </rPr>
          <t xml:space="preserve"> </t>
        </r>
        <r>
          <rPr>
            <sz val="9"/>
            <color indexed="81"/>
            <rFont val="돋움"/>
            <family val="3"/>
            <charset val="129"/>
          </rPr>
          <t>현황</t>
        </r>
        <r>
          <rPr>
            <sz val="9"/>
            <color indexed="81"/>
            <rFont val="Tahoma"/>
            <family val="2"/>
          </rPr>
          <t>)</t>
        </r>
      </text>
    </comment>
    <comment ref="F21" authorId="0" shapeId="0" xr:uid="{9E2A2A47-EFEB-42E7-8347-701D3C727099}">
      <text>
        <r>
          <rPr>
            <b/>
            <sz val="9"/>
            <color indexed="81"/>
            <rFont val="Tahoma"/>
            <family val="2"/>
          </rPr>
          <t>MSK:</t>
        </r>
        <r>
          <rPr>
            <sz val="9"/>
            <color indexed="81"/>
            <rFont val="Tahoma"/>
            <family val="2"/>
          </rPr>
          <t xml:space="preserve">
KRX </t>
        </r>
        <r>
          <rPr>
            <sz val="9"/>
            <color indexed="81"/>
            <rFont val="돋움"/>
            <family val="3"/>
            <charset val="129"/>
          </rPr>
          <t>공시에</t>
        </r>
        <r>
          <rPr>
            <sz val="9"/>
            <color indexed="81"/>
            <rFont val="Tahoma"/>
            <family val="2"/>
          </rPr>
          <t xml:space="preserve"> </t>
        </r>
        <r>
          <rPr>
            <sz val="9"/>
            <color indexed="81"/>
            <rFont val="돋움"/>
            <family val="3"/>
            <charset val="129"/>
          </rPr>
          <t>뜨는</t>
        </r>
        <r>
          <rPr>
            <sz val="9"/>
            <color indexed="81"/>
            <rFont val="Tahoma"/>
            <family val="2"/>
          </rPr>
          <t xml:space="preserve"> </t>
        </r>
        <r>
          <rPr>
            <sz val="9"/>
            <color indexed="81"/>
            <rFont val="돋움"/>
            <family val="3"/>
            <charset val="129"/>
          </rPr>
          <t>선물</t>
        </r>
        <r>
          <rPr>
            <sz val="9"/>
            <color indexed="81"/>
            <rFont val="Tahoma"/>
            <family val="2"/>
          </rPr>
          <t xml:space="preserve"> </t>
        </r>
        <r>
          <rPr>
            <sz val="9"/>
            <color indexed="81"/>
            <rFont val="돋움"/>
            <family val="3"/>
            <charset val="129"/>
          </rPr>
          <t>조정</t>
        </r>
        <r>
          <rPr>
            <sz val="9"/>
            <color indexed="81"/>
            <rFont val="Tahoma"/>
            <family val="2"/>
          </rPr>
          <t xml:space="preserve"> </t>
        </r>
        <r>
          <rPr>
            <sz val="9"/>
            <color indexed="81"/>
            <rFont val="돋움"/>
            <family val="3"/>
            <charset val="129"/>
          </rPr>
          <t>승수는</t>
        </r>
        <r>
          <rPr>
            <sz val="9"/>
            <color indexed="81"/>
            <rFont val="Tahoma"/>
            <family val="2"/>
          </rPr>
          <t xml:space="preserve"> </t>
        </r>
        <r>
          <rPr>
            <sz val="9"/>
            <color indexed="81"/>
            <rFont val="돋움"/>
            <family val="3"/>
            <charset val="129"/>
          </rPr>
          <t>공시에</t>
        </r>
        <r>
          <rPr>
            <sz val="9"/>
            <color indexed="81"/>
            <rFont val="Tahoma"/>
            <family val="2"/>
          </rPr>
          <t xml:space="preserve"> </t>
        </r>
        <r>
          <rPr>
            <sz val="9"/>
            <color indexed="81"/>
            <rFont val="돋움"/>
            <family val="3"/>
            <charset val="129"/>
          </rPr>
          <t>나온</t>
        </r>
        <r>
          <rPr>
            <sz val="9"/>
            <color indexed="81"/>
            <rFont val="Tahoma"/>
            <family val="2"/>
          </rPr>
          <t xml:space="preserve"> </t>
        </r>
        <r>
          <rPr>
            <sz val="9"/>
            <color indexed="81"/>
            <rFont val="돋움"/>
            <family val="3"/>
            <charset val="129"/>
          </rPr>
          <t>기준가격이</t>
        </r>
        <r>
          <rPr>
            <sz val="9"/>
            <color indexed="81"/>
            <rFont val="Tahoma"/>
            <family val="2"/>
          </rPr>
          <t xml:space="preserve"> </t>
        </r>
        <r>
          <rPr>
            <sz val="9"/>
            <color indexed="81"/>
            <rFont val="돋움"/>
            <family val="3"/>
            <charset val="129"/>
          </rPr>
          <t>아닌</t>
        </r>
        <r>
          <rPr>
            <sz val="9"/>
            <color indexed="81"/>
            <rFont val="Tahoma"/>
            <family val="2"/>
          </rPr>
          <t xml:space="preserve"> </t>
        </r>
        <r>
          <rPr>
            <sz val="9"/>
            <color indexed="81"/>
            <rFont val="돋움"/>
            <family val="3"/>
            <charset val="129"/>
          </rPr>
          <t>올림</t>
        </r>
        <r>
          <rPr>
            <sz val="9"/>
            <color indexed="81"/>
            <rFont val="Tahoma"/>
            <family val="2"/>
          </rPr>
          <t xml:space="preserve"> </t>
        </r>
        <r>
          <rPr>
            <sz val="9"/>
            <color indexed="81"/>
            <rFont val="돋움"/>
            <family val="3"/>
            <charset val="129"/>
          </rPr>
          <t>전</t>
        </r>
        <r>
          <rPr>
            <sz val="9"/>
            <color indexed="81"/>
            <rFont val="Tahoma"/>
            <family val="2"/>
          </rPr>
          <t xml:space="preserve"> </t>
        </r>
        <r>
          <rPr>
            <sz val="9"/>
            <color indexed="81"/>
            <rFont val="돋움"/>
            <family val="3"/>
            <charset val="129"/>
          </rPr>
          <t>권리부종가</t>
        </r>
        <r>
          <rPr>
            <sz val="9"/>
            <color indexed="81"/>
            <rFont val="Tahoma"/>
            <family val="2"/>
          </rPr>
          <t>/</t>
        </r>
        <r>
          <rPr>
            <sz val="9"/>
            <color indexed="81"/>
            <rFont val="돋움"/>
            <family val="3"/>
            <charset val="129"/>
          </rPr>
          <t>기준가격</t>
        </r>
        <r>
          <rPr>
            <sz val="9"/>
            <color indexed="81"/>
            <rFont val="Tahoma"/>
            <family val="2"/>
          </rPr>
          <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MSK</author>
  </authors>
  <commentList>
    <comment ref="F7" authorId="0" shapeId="0" xr:uid="{15AC33C3-2439-4295-97FA-0D858C57F286}">
      <text>
        <r>
          <rPr>
            <b/>
            <sz val="9"/>
            <color indexed="81"/>
            <rFont val="Tahoma"/>
            <family val="2"/>
          </rPr>
          <t>MSK:</t>
        </r>
        <r>
          <rPr>
            <sz val="9"/>
            <color indexed="81"/>
            <rFont val="Tahoma"/>
            <family val="2"/>
          </rPr>
          <t xml:space="preserve">
</t>
        </r>
        <r>
          <rPr>
            <sz val="9"/>
            <color indexed="81"/>
            <rFont val="돋움"/>
            <family val="3"/>
            <charset val="129"/>
          </rPr>
          <t>자기주식에</t>
        </r>
        <r>
          <rPr>
            <sz val="9"/>
            <color indexed="81"/>
            <rFont val="Tahoma"/>
            <family val="2"/>
          </rPr>
          <t xml:space="preserve"> </t>
        </r>
        <r>
          <rPr>
            <sz val="9"/>
            <color indexed="81"/>
            <rFont val="돋움"/>
            <family val="3"/>
            <charset val="129"/>
          </rPr>
          <t>대해서는</t>
        </r>
        <r>
          <rPr>
            <sz val="9"/>
            <color indexed="81"/>
            <rFont val="Tahoma"/>
            <family val="2"/>
          </rPr>
          <t xml:space="preserve"> </t>
        </r>
        <r>
          <rPr>
            <sz val="9"/>
            <color indexed="81"/>
            <rFont val="돋움"/>
            <family val="3"/>
            <charset val="129"/>
          </rPr>
          <t>신주인수권이</t>
        </r>
        <r>
          <rPr>
            <sz val="9"/>
            <color indexed="81"/>
            <rFont val="Tahoma"/>
            <family val="2"/>
          </rPr>
          <t xml:space="preserve"> </t>
        </r>
        <r>
          <rPr>
            <sz val="9"/>
            <color indexed="81"/>
            <rFont val="돋움"/>
            <family val="3"/>
            <charset val="129"/>
          </rPr>
          <t>없음</t>
        </r>
        <r>
          <rPr>
            <sz val="9"/>
            <color indexed="81"/>
            <rFont val="Tahoma"/>
            <family val="2"/>
          </rPr>
          <t xml:space="preserve">. 
</t>
        </r>
        <r>
          <rPr>
            <sz val="9"/>
            <color indexed="81"/>
            <rFont val="돋움"/>
            <family val="3"/>
            <charset val="129"/>
          </rPr>
          <t>사업보고서에서</t>
        </r>
        <r>
          <rPr>
            <sz val="9"/>
            <color indexed="81"/>
            <rFont val="Tahoma"/>
            <family val="2"/>
          </rPr>
          <t xml:space="preserve"> </t>
        </r>
        <r>
          <rPr>
            <sz val="9"/>
            <color indexed="81"/>
            <rFont val="돋움"/>
            <family val="3"/>
            <charset val="129"/>
          </rPr>
          <t>확인</t>
        </r>
        <r>
          <rPr>
            <sz val="9"/>
            <color indexed="81"/>
            <rFont val="Tahoma"/>
            <family val="2"/>
          </rPr>
          <t xml:space="preserve"> </t>
        </r>
        <r>
          <rPr>
            <sz val="9"/>
            <color indexed="81"/>
            <rFont val="돋움"/>
            <family val="3"/>
            <charset val="129"/>
          </rPr>
          <t>가능</t>
        </r>
        <r>
          <rPr>
            <sz val="9"/>
            <color indexed="81"/>
            <rFont val="Tahoma"/>
            <family val="2"/>
          </rPr>
          <t>(</t>
        </r>
        <r>
          <rPr>
            <sz val="9"/>
            <color indexed="81"/>
            <rFont val="돋움"/>
            <family val="3"/>
            <charset val="129"/>
          </rPr>
          <t>주식의</t>
        </r>
        <r>
          <rPr>
            <sz val="9"/>
            <color indexed="81"/>
            <rFont val="Tahoma"/>
            <family val="2"/>
          </rPr>
          <t xml:space="preserve"> </t>
        </r>
        <r>
          <rPr>
            <sz val="9"/>
            <color indexed="81"/>
            <rFont val="돋움"/>
            <family val="3"/>
            <charset val="129"/>
          </rPr>
          <t>총수</t>
        </r>
        <r>
          <rPr>
            <sz val="9"/>
            <color indexed="81"/>
            <rFont val="Tahoma"/>
            <family val="2"/>
          </rPr>
          <t xml:space="preserve"> </t>
        </r>
        <r>
          <rPr>
            <sz val="9"/>
            <color indexed="81"/>
            <rFont val="돋움"/>
            <family val="3"/>
            <charset val="129"/>
          </rPr>
          <t>현황</t>
        </r>
        <r>
          <rPr>
            <sz val="9"/>
            <color indexed="81"/>
            <rFont val="Tahoma"/>
            <family val="2"/>
          </rPr>
          <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MSK</author>
  </authors>
  <commentList>
    <comment ref="F7" authorId="0" shapeId="0" xr:uid="{0EDA722A-8A65-4E49-8C82-5E8EC7CBE122}">
      <text>
        <r>
          <rPr>
            <b/>
            <sz val="9"/>
            <color indexed="81"/>
            <rFont val="Tahoma"/>
            <family val="2"/>
          </rPr>
          <t>MSK:</t>
        </r>
        <r>
          <rPr>
            <sz val="9"/>
            <color indexed="81"/>
            <rFont val="Tahoma"/>
            <family val="2"/>
          </rPr>
          <t xml:space="preserve">
</t>
        </r>
        <r>
          <rPr>
            <sz val="9"/>
            <color indexed="81"/>
            <rFont val="돋움"/>
            <family val="3"/>
            <charset val="129"/>
          </rPr>
          <t>자기주식에</t>
        </r>
        <r>
          <rPr>
            <sz val="9"/>
            <color indexed="81"/>
            <rFont val="Tahoma"/>
            <family val="2"/>
          </rPr>
          <t xml:space="preserve"> </t>
        </r>
        <r>
          <rPr>
            <sz val="9"/>
            <color indexed="81"/>
            <rFont val="돋움"/>
            <family val="3"/>
            <charset val="129"/>
          </rPr>
          <t>대해서는</t>
        </r>
        <r>
          <rPr>
            <sz val="9"/>
            <color indexed="81"/>
            <rFont val="Tahoma"/>
            <family val="2"/>
          </rPr>
          <t xml:space="preserve"> </t>
        </r>
        <r>
          <rPr>
            <sz val="9"/>
            <color indexed="81"/>
            <rFont val="돋움"/>
            <family val="3"/>
            <charset val="129"/>
          </rPr>
          <t>신주인수권이</t>
        </r>
        <r>
          <rPr>
            <sz val="9"/>
            <color indexed="81"/>
            <rFont val="Tahoma"/>
            <family val="2"/>
          </rPr>
          <t xml:space="preserve"> </t>
        </r>
        <r>
          <rPr>
            <sz val="9"/>
            <color indexed="81"/>
            <rFont val="돋움"/>
            <family val="3"/>
            <charset val="129"/>
          </rPr>
          <t>없음</t>
        </r>
        <r>
          <rPr>
            <sz val="9"/>
            <color indexed="81"/>
            <rFont val="Tahoma"/>
            <family val="2"/>
          </rPr>
          <t xml:space="preserve">. 
</t>
        </r>
        <r>
          <rPr>
            <sz val="9"/>
            <color indexed="81"/>
            <rFont val="돋움"/>
            <family val="3"/>
            <charset val="129"/>
          </rPr>
          <t>사업보고서에서</t>
        </r>
        <r>
          <rPr>
            <sz val="9"/>
            <color indexed="81"/>
            <rFont val="Tahoma"/>
            <family val="2"/>
          </rPr>
          <t xml:space="preserve"> </t>
        </r>
        <r>
          <rPr>
            <sz val="9"/>
            <color indexed="81"/>
            <rFont val="돋움"/>
            <family val="3"/>
            <charset val="129"/>
          </rPr>
          <t>확인</t>
        </r>
        <r>
          <rPr>
            <sz val="9"/>
            <color indexed="81"/>
            <rFont val="Tahoma"/>
            <family val="2"/>
          </rPr>
          <t xml:space="preserve"> </t>
        </r>
        <r>
          <rPr>
            <sz val="9"/>
            <color indexed="81"/>
            <rFont val="돋움"/>
            <family val="3"/>
            <charset val="129"/>
          </rPr>
          <t>가능</t>
        </r>
        <r>
          <rPr>
            <sz val="9"/>
            <color indexed="81"/>
            <rFont val="Tahoma"/>
            <family val="2"/>
          </rPr>
          <t>(</t>
        </r>
        <r>
          <rPr>
            <sz val="9"/>
            <color indexed="81"/>
            <rFont val="돋움"/>
            <family val="3"/>
            <charset val="129"/>
          </rPr>
          <t>주식의</t>
        </r>
        <r>
          <rPr>
            <sz val="9"/>
            <color indexed="81"/>
            <rFont val="Tahoma"/>
            <family val="2"/>
          </rPr>
          <t xml:space="preserve"> </t>
        </r>
        <r>
          <rPr>
            <sz val="9"/>
            <color indexed="81"/>
            <rFont val="돋움"/>
            <family val="3"/>
            <charset val="129"/>
          </rPr>
          <t>총수</t>
        </r>
        <r>
          <rPr>
            <sz val="9"/>
            <color indexed="81"/>
            <rFont val="Tahoma"/>
            <family val="2"/>
          </rPr>
          <t xml:space="preserve"> </t>
        </r>
        <r>
          <rPr>
            <sz val="9"/>
            <color indexed="81"/>
            <rFont val="돋움"/>
            <family val="3"/>
            <charset val="129"/>
          </rPr>
          <t>현황</t>
        </r>
        <r>
          <rPr>
            <sz val="9"/>
            <color indexed="81"/>
            <rFont val="Tahoma"/>
            <family val="2"/>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MSK</author>
  </authors>
  <commentList>
    <comment ref="C3" authorId="0" shapeId="0" xr:uid="{2AAC98F5-F5E2-4DAB-ADD0-42D5D2426DC8}">
      <text>
        <r>
          <rPr>
            <sz val="9"/>
            <color indexed="54"/>
            <rFont val="Tahoma"/>
            <family val="2"/>
          </rPr>
          <t>Default
원
천원
만원
백만원
억원
십억원</t>
        </r>
      </text>
    </comment>
    <comment ref="B5" authorId="0" shapeId="0" xr:uid="{160927CB-AC10-4E8A-9F1C-025B6A5F9DB2}">
      <text>
        <r>
          <rPr>
            <sz val="9"/>
            <color indexed="54"/>
            <rFont val="Tahoma"/>
            <family val="2"/>
          </rPr>
          <t>일간
주간
월간
분기간
년간</t>
        </r>
      </text>
    </comment>
    <comment ref="C5" authorId="0" shapeId="0" xr:uid="{7A7AB961-38DE-4B27-A348-13F7C069F8DD}">
      <text>
        <r>
          <rPr>
            <sz val="9"/>
            <color indexed="54"/>
            <rFont val="Tahoma"/>
            <family val="2"/>
          </rPr>
          <t>Local
KRW
USD</t>
        </r>
      </text>
    </comment>
    <comment ref="A6" authorId="0" shapeId="0" xr:uid="{B1345D43-C50D-4128-A33C-AC5D3ADE88DA}">
      <text>
        <r>
          <rPr>
            <sz val="9"/>
            <color indexed="54"/>
            <rFont val="Tahoma"/>
            <family val="2"/>
          </rPr>
          <t>주간,월간,분기간,년간 : Exclusive 제외</t>
        </r>
      </text>
    </comment>
    <comment ref="B6" authorId="0" shapeId="0" xr:uid="{8289F73A-8AFE-4B62-915A-65A2FFF4F81E}">
      <text>
        <r>
          <rPr>
            <sz val="9"/>
            <color indexed="54"/>
            <rFont val="Tahoma"/>
            <family val="2"/>
          </rPr>
          <t>Exclusive
N/A
NULL
Previous</t>
        </r>
      </text>
    </comment>
    <comment ref="C6" authorId="0" shapeId="0" xr:uid="{A9F0D651-87E5-4D70-8F50-FEF3937A01C6}">
      <text>
        <r>
          <rPr>
            <sz val="9"/>
            <color indexed="54"/>
            <rFont val="Tahoma"/>
            <family val="2"/>
          </rPr>
          <t>Asc
Desc</t>
        </r>
      </text>
    </comment>
    <comment ref="A7" authorId="0" shapeId="0" xr:uid="{CC9C41E5-7688-42B1-8BB3-FC7D951A8ACE}">
      <text>
        <r>
          <rPr>
            <sz val="9"/>
            <color indexed="54"/>
            <rFont val="Tahoma"/>
            <family val="2"/>
          </rPr>
          <t>주간,월간,분기간,년간 : SUN, SAT 제외</t>
        </r>
      </text>
    </comment>
    <comment ref="B7" authorId="0" shapeId="0" xr:uid="{88BA674D-5EFC-4430-A43E-FB0BBDDFED1D}">
      <text>
        <r>
          <rPr>
            <sz val="9"/>
            <color indexed="54"/>
            <rFont val="Tahoma"/>
            <family val="2"/>
          </rPr>
          <t>NONE
SUN
SAT
ALL</t>
        </r>
      </text>
    </comment>
    <comment ref="A8" authorId="0" shapeId="0" xr:uid="{C59D78E4-6BA4-4E09-AB7C-464E91766370}">
      <text>
        <r>
          <rPr>
            <sz val="9"/>
            <color indexed="54"/>
            <rFont val="Tahoma"/>
            <family val="2"/>
          </rPr>
          <t>Ex) 
 YYYYMMDD 
 Or 
 Current(YYYYMMDD)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MSK</author>
  </authors>
  <commentList>
    <comment ref="D3" authorId="0" shapeId="0" xr:uid="{EE52A7DC-43C6-4B6D-ACE4-CE311F00329D}">
      <text>
        <r>
          <rPr>
            <sz val="9"/>
            <color indexed="54"/>
            <rFont val="Tahoma"/>
            <family val="2"/>
          </rPr>
          <t>Default
원
천원
만원
백만원
억원
십억원</t>
        </r>
      </text>
    </comment>
    <comment ref="C5" authorId="0" shapeId="0" xr:uid="{EB4B8704-BDC1-4E47-A5AD-30FECD4A5FED}">
      <text>
        <r>
          <rPr>
            <sz val="9"/>
            <color indexed="54"/>
            <rFont val="Tahoma"/>
            <family val="2"/>
          </rPr>
          <t>일간
주간
월간
분기간
년간</t>
        </r>
      </text>
    </comment>
    <comment ref="D5" authorId="0" shapeId="0" xr:uid="{4C5C459C-E720-4A62-AEFA-DC15FD2050FF}">
      <text>
        <r>
          <rPr>
            <sz val="9"/>
            <color indexed="54"/>
            <rFont val="Tahoma"/>
            <family val="2"/>
          </rPr>
          <t>Local
KRW
USD</t>
        </r>
      </text>
    </comment>
    <comment ref="B6" authorId="0" shapeId="0" xr:uid="{677C4E35-9646-4CB6-A084-4E81F5850894}">
      <text>
        <r>
          <rPr>
            <sz val="9"/>
            <color indexed="54"/>
            <rFont val="Tahoma"/>
            <family val="2"/>
          </rPr>
          <t>주간,월간,분기간,년간 : Exclusive 제외</t>
        </r>
      </text>
    </comment>
    <comment ref="C6" authorId="0" shapeId="0" xr:uid="{748AEE4F-51CA-4ED2-9D43-976BA19E0472}">
      <text>
        <r>
          <rPr>
            <sz val="9"/>
            <color indexed="54"/>
            <rFont val="Tahoma"/>
            <family val="2"/>
          </rPr>
          <t>Exclusive
N/A
NULL
Previous</t>
        </r>
      </text>
    </comment>
    <comment ref="D6" authorId="0" shapeId="0" xr:uid="{AF08C2E3-BD9B-4097-9B90-86B50F9C89D0}">
      <text>
        <r>
          <rPr>
            <sz val="9"/>
            <color indexed="54"/>
            <rFont val="Tahoma"/>
            <family val="2"/>
          </rPr>
          <t>Asc
Desc</t>
        </r>
      </text>
    </comment>
    <comment ref="B7" authorId="0" shapeId="0" xr:uid="{9954D42E-BC16-4017-BA6C-B164DE27407C}">
      <text>
        <r>
          <rPr>
            <sz val="9"/>
            <color indexed="54"/>
            <rFont val="Tahoma"/>
            <family val="2"/>
          </rPr>
          <t>주간,월간,분기간,년간 : SUN, SAT 제외</t>
        </r>
      </text>
    </comment>
    <comment ref="C7" authorId="0" shapeId="0" xr:uid="{DD4F8B03-B5C4-4F19-AD26-103B73BFE629}">
      <text>
        <r>
          <rPr>
            <sz val="9"/>
            <color indexed="54"/>
            <rFont val="Tahoma"/>
            <family val="2"/>
          </rPr>
          <t>NONE
SUN
SAT
ALL</t>
        </r>
      </text>
    </comment>
    <comment ref="B8" authorId="0" shapeId="0" xr:uid="{00AB9A53-F410-4853-B7E0-1685684880D4}">
      <text>
        <r>
          <rPr>
            <sz val="9"/>
            <color indexed="54"/>
            <rFont val="Tahoma"/>
            <family val="2"/>
          </rPr>
          <t>Ex) 
 YYYYMMDD 
 Or 
 Current(YYYYMMDD)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<sst xmlns="http://schemas.openxmlformats.org/spreadsheetml/2006/main" count="599" uniqueCount="221">
  <si>
    <t>Calendar Basis</t>
  </si>
  <si>
    <t>Portfolio</t>
  </si>
  <si>
    <t xml:space="preserve"> </t>
  </si>
  <si>
    <t>Item</t>
  </si>
  <si>
    <t>Frequency</t>
  </si>
  <si>
    <t>Non-Trading Day</t>
  </si>
  <si>
    <t>Item Name</t>
  </si>
  <si>
    <t>종가(원)</t>
  </si>
  <si>
    <t>수정주가(원)</t>
  </si>
  <si>
    <t>일간</t>
  </si>
  <si>
    <t>Previous</t>
  </si>
  <si>
    <t>KRW</t>
  </si>
  <si>
    <t>Asc</t>
  </si>
  <si>
    <t>Default</t>
  </si>
  <si>
    <t>거래대금(원)</t>
  </si>
  <si>
    <t>거래량(주)</t>
  </si>
  <si>
    <t>Include Weekend</t>
  </si>
  <si>
    <t>Term</t>
  </si>
  <si>
    <t>Current(20260406)</t>
  </si>
  <si>
    <t>Symbol</t>
  </si>
  <si>
    <t>Symbol Name</t>
  </si>
  <si>
    <t>Kind</t>
  </si>
  <si>
    <t>FN4170CF1005</t>
  </si>
  <si>
    <t>한화에어로    F 연결선물지수</t>
  </si>
  <si>
    <t>DER</t>
  </si>
  <si>
    <t>DF10000600</t>
  </si>
  <si>
    <t>기준가(포인트)</t>
  </si>
  <si>
    <t>DAILY</t>
  </si>
  <si>
    <t>DF10000400</t>
  </si>
  <si>
    <t>종가(포인트)</t>
  </si>
  <si>
    <t>FN4170CF1000</t>
  </si>
  <si>
    <t>한화에어로    F 최근월물</t>
  </si>
  <si>
    <t>FN4170CF2000</t>
  </si>
  <si>
    <t>한화에어로    F 차근월물</t>
  </si>
  <si>
    <t>ALL</t>
  </si>
  <si>
    <t>A012450</t>
  </si>
  <si>
    <t>한화에어로스페이스</t>
  </si>
  <si>
    <t>SSC</t>
  </si>
  <si>
    <t>S41000060F</t>
  </si>
  <si>
    <t>S410000700</t>
  </si>
  <si>
    <t>S410000200</t>
  </si>
  <si>
    <t>기준가(원)</t>
  </si>
  <si>
    <t>S41000080F</t>
  </si>
  <si>
    <t>S410000900</t>
  </si>
  <si>
    <t>조정 후 거래승수</t>
  </si>
  <si>
    <t xml:space="preserve">권리락 일 </t>
  </si>
  <si>
    <t>1차 발행가액</t>
  </si>
  <si>
    <t>2차 발행가액</t>
  </si>
  <si>
    <t xml:space="preserve">청약일 전 </t>
  </si>
  <si>
    <t>승수</t>
  </si>
  <si>
    <t>배정기준일</t>
  </si>
  <si>
    <t>권리락</t>
  </si>
  <si>
    <t>증자비율</t>
  </si>
  <si>
    <t>전일 종가 + 유상발행가(1차발행가) * 증가비율 /(1+증자비율)</t>
  </si>
  <si>
    <t>할인율</t>
  </si>
  <si>
    <t>기산일</t>
  </si>
  <si>
    <t>1개월 가중산술평균주가</t>
  </si>
  <si>
    <t>1주일 가중산술평균주가</t>
  </si>
  <si>
    <t>기산일 종가</t>
  </si>
  <si>
    <t>기준가</t>
  </si>
  <si>
    <t>권리락 전일</t>
  </si>
  <si>
    <t>기초주권기준가격</t>
  </si>
  <si>
    <t>확정발행가(예정) (청약비용)</t>
  </si>
  <si>
    <t>공정 신주인수권 가격</t>
  </si>
  <si>
    <t>선물 승수</t>
  </si>
  <si>
    <t>2차 기산일</t>
  </si>
  <si>
    <t>연결근월</t>
  </si>
  <si>
    <t>연결차월</t>
  </si>
  <si>
    <t>6,7월만 거래승수조정</t>
  </si>
  <si>
    <t>현물 = 인수권 가격 + 발행가</t>
  </si>
  <si>
    <t>현물 = 선물 + 인수권가격 ( 배정기준일 전)</t>
  </si>
  <si>
    <t>베이시스</t>
  </si>
  <si>
    <t>유상증자 결정</t>
  </si>
  <si>
    <t>실적 발표</t>
  </si>
  <si>
    <t>만기첫</t>
  </si>
  <si>
    <t>PYTHONPATH</t>
  </si>
  <si>
    <t>UDF MODULES</t>
  </si>
  <si>
    <t>Interpreter</t>
  </si>
  <si>
    <t>C:\Users\MSK\anaconda3\envs\etf\python.exe</t>
  </si>
  <si>
    <t>상장 일정</t>
  </si>
  <si>
    <t>내용</t>
  </si>
  <si>
    <t>증자 비율</t>
  </si>
  <si>
    <t>확정발행가액</t>
  </si>
  <si>
    <t>신주인수권 이론가</t>
  </si>
  <si>
    <t>start</t>
  </si>
  <si>
    <t>end</t>
  </si>
  <si>
    <t>신주상장예정일</t>
  </si>
  <si>
    <t>신주인수권증서 상장</t>
  </si>
  <si>
    <t>청약일</t>
  </si>
  <si>
    <t>신주배정기준일</t>
  </si>
  <si>
    <t>1차 발행가액 확정</t>
  </si>
  <si>
    <t>이것도 mcal로 가능</t>
  </si>
  <si>
    <t>2차발행가액 확정</t>
  </si>
  <si>
    <t>최초 공시</t>
  </si>
  <si>
    <t>증자 전 발행주식 총수</t>
  </si>
  <si>
    <t>신규 발행주식 수</t>
  </si>
  <si>
    <t>유상증자  detail</t>
  </si>
  <si>
    <t>조정</t>
  </si>
  <si>
    <t>인수권 괴리율</t>
  </si>
  <si>
    <t>파라미터</t>
  </si>
  <si>
    <t>r</t>
  </si>
  <si>
    <t>sigma</t>
  </si>
  <si>
    <t>T</t>
  </si>
  <si>
    <t>값</t>
  </si>
  <si>
    <t>1차 발행가액 할인율</t>
  </si>
  <si>
    <t>2차 발행가액 할인율</t>
  </si>
  <si>
    <t>확정 발행가액 할인율</t>
  </si>
  <si>
    <t>종목코드</t>
  </si>
  <si>
    <t>012450</t>
  </si>
  <si>
    <t>종목명</t>
  </si>
  <si>
    <t>C:\Users\MSK\git\etf_research\etf_research\src</t>
  </si>
  <si>
    <t>K (예상 발행가액)</t>
  </si>
  <si>
    <t>D</t>
  </si>
  <si>
    <t>신주인수권 희석 이론가</t>
  </si>
  <si>
    <t>현물가</t>
  </si>
  <si>
    <t>선물 근월</t>
  </si>
  <si>
    <t>선물 차월</t>
  </si>
  <si>
    <t>현선 괴리율</t>
  </si>
  <si>
    <t>신주인수권 시장가</t>
  </si>
  <si>
    <t>가격</t>
  </si>
  <si>
    <t>naïve</t>
  </si>
  <si>
    <t>adjusted</t>
  </si>
  <si>
    <t>주식</t>
  </si>
  <si>
    <t>코드</t>
  </si>
  <si>
    <t>인수권</t>
  </si>
  <si>
    <t>선물</t>
  </si>
  <si>
    <t>009830</t>
  </si>
  <si>
    <t>한화솔루션</t>
  </si>
  <si>
    <t>권리락 가격</t>
  </si>
  <si>
    <t>현물</t>
  </si>
  <si>
    <t>전일종가</t>
  </si>
  <si>
    <t>종가</t>
  </si>
  <si>
    <t>권리락 전일 종가 + (발행가액 * 유증비율) /(1+유증비율)</t>
  </si>
  <si>
    <t>우리사주</t>
  </si>
  <si>
    <t>선물 조정</t>
  </si>
  <si>
    <t>선물 가격은 빠지는데 승수가 올라감</t>
  </si>
  <si>
    <t>보통주 기준가격 = 보통주식 기준가격 = [보통주식 권리부종가 × 증자전 보통주식 주식수 + (종류주식 발행가액 - 종류주식 기준가격) × 보통주식 주주에 배정한 종류주식 주식수] / 증자전 보통주식 주식수</t>
  </si>
  <si>
    <t>권리부 종가라 함은 권리락 실시 전일을 말한다</t>
  </si>
  <si>
    <t>권리락 이후 진입하는 사람은 조정승수 고려 계약수 계산. 1:1이면 오버헷짖</t>
  </si>
  <si>
    <t>괴리율</t>
  </si>
  <si>
    <t>뉴스 플로우</t>
  </si>
  <si>
    <t>일자</t>
  </si>
  <si>
    <t>요약</t>
  </si>
  <si>
    <t>링크</t>
  </si>
  <si>
    <t>https://news.nate.com/view/20260409n35691?mid=n0802</t>
  </si>
  <si>
    <t>금감원 유상증자 제동</t>
  </si>
  <si>
    <t>트레이딩 일지</t>
  </si>
  <si>
    <t>주식 매매수량</t>
  </si>
  <si>
    <t>선물 매매계약</t>
  </si>
  <si>
    <t>예상 PnL</t>
  </si>
  <si>
    <t>예상 수익률</t>
  </si>
  <si>
    <t>포지션 구축 비용</t>
  </si>
  <si>
    <t>주문 수량</t>
  </si>
  <si>
    <t>현선 차익거래</t>
  </si>
  <si>
    <t>신주인수권 차익거래</t>
  </si>
  <si>
    <t>워런트 프리미엄</t>
  </si>
  <si>
    <t>워런트 프리미엄율</t>
  </si>
  <si>
    <t>인수권 매매수량</t>
  </si>
  <si>
    <t>종목명</t>
    <phoneticPr fontId="9" type="noConversion"/>
  </si>
  <si>
    <t>1. 4/10 장후 캡처본 - 시장에서는 유상증자 초기에 약간의 인수권 프라이싱을 했지만 정부의 기조 때문인지 fully pricing 하지 않은 모습
2. 혹은 배정기준일이 5월이 아닌 뒤로 밀릴 것으로 베팅
3. 일전 한화에어로스페이스의 경우에도 배정기준일이 1달 밀린 역사가 있음
4. 주식 선물 거래량이 부족하여 주식 옵션으로 PC 패리티 이용하려 했으나 주식 옵션은 유동성이 더욱 없음</t>
    <phoneticPr fontId="9" type="noConversion"/>
  </si>
  <si>
    <t>기타비용</t>
    <phoneticPr fontId="9" type="noConversion"/>
  </si>
  <si>
    <t>증권거래세</t>
    <phoneticPr fontId="9" type="noConversion"/>
  </si>
  <si>
    <t>슬리피지</t>
    <phoneticPr fontId="9" type="noConversion"/>
  </si>
  <si>
    <t>증권신고서 효력 발생</t>
    <phoneticPr fontId="9" type="noConversion"/>
  </si>
  <si>
    <t>상장 예정일</t>
    <phoneticPr fontId="9" type="noConversion"/>
  </si>
  <si>
    <t>right_issue</t>
    <phoneticPr fontId="9" type="noConversion"/>
  </si>
  <si>
    <t>자기주식 수</t>
    <phoneticPr fontId="9" type="noConversion"/>
  </si>
  <si>
    <t>※주의: 권리락일 이후 현선 페어 1:1이면 오버 헷지</t>
    <phoneticPr fontId="9" type="noConversion"/>
  </si>
  <si>
    <t>start</t>
    <phoneticPr fontId="9" type="noConversion"/>
  </si>
  <si>
    <t>end</t>
    <phoneticPr fontId="9" type="noConversion"/>
  </si>
  <si>
    <t>예상 배당</t>
    <phoneticPr fontId="9" type="noConversion"/>
  </si>
  <si>
    <t>선물 근월 시장가</t>
    <phoneticPr fontId="9" type="noConversion"/>
  </si>
  <si>
    <t>선물 근월 이론가</t>
    <phoneticPr fontId="9" type="noConversion"/>
  </si>
  <si>
    <t>선물 만기 일정</t>
    <phoneticPr fontId="9" type="noConversion"/>
  </si>
  <si>
    <t>시장 베이시스율</t>
    <phoneticPr fontId="9" type="noConversion"/>
  </si>
  <si>
    <t>이론 베이시스율</t>
    <phoneticPr fontId="9" type="noConversion"/>
  </si>
  <si>
    <t>시장 현선베이시스</t>
    <phoneticPr fontId="9" type="noConversion"/>
  </si>
  <si>
    <t>이론 현선베이시스</t>
    <phoneticPr fontId="9" type="noConversion"/>
  </si>
  <si>
    <t>배당 일정(기준일)</t>
    <phoneticPr fontId="9" type="noConversion"/>
  </si>
  <si>
    <t>값</t>
    <phoneticPr fontId="9" type="noConversion"/>
  </si>
  <si>
    <t>※ 만기 주 아니면 OI나 거래량 자체가 많지 않아서 슬리피지, 체결 위험 조심</t>
    <phoneticPr fontId="9" type="noConversion"/>
  </si>
  <si>
    <t>휴림에이텍</t>
    <phoneticPr fontId="9" type="noConversion"/>
  </si>
  <si>
    <t>078590</t>
    <phoneticPr fontId="9" type="noConversion"/>
  </si>
  <si>
    <t>시장</t>
    <phoneticPr fontId="9" type="noConversion"/>
  </si>
  <si>
    <t>KOSPI</t>
    <phoneticPr fontId="9" type="noConversion"/>
  </si>
  <si>
    <t>KOSDAQ</t>
    <phoneticPr fontId="9" type="noConversion"/>
  </si>
  <si>
    <t>액면가액</t>
    <phoneticPr fontId="9" type="noConversion"/>
  </si>
  <si>
    <t>147760</t>
    <phoneticPr fontId="9" type="noConversion"/>
  </si>
  <si>
    <t>피엠티</t>
    <phoneticPr fontId="9" type="noConversion"/>
  </si>
  <si>
    <t>https://www.fsc.go.kr/no010101/83440?srchCtgry=&amp;curPage=&amp;srchKey=&amp;srchText=&amp;srchBeginDt=&amp;srchEndDt=#:~:text=%EA%B3%B5%EB%A7%A4%EB%8F%84%ED%95%9C%20%EA%B2%BD%EC%9A%B0%EB%8A%94%20%EC%A0%84%ED%99%98%EC%82%AC%EC%B1%84%C2%B7%EC%8B%A0%EC%A3%BC%EC%9D%B8%EC%88%98%EA%B6%8C%EB%B6%80%EC%82%AC%EC%B1%84%EC%9D%98%20%EC%B7%A8%EB%93%9D%EC%9D%B4%20%EA%B8%88%EC%A7%80%EB%90%9C%EB%8B%A4.%20%EB%8B%A8%2C%20'21.4%EC%9B%94,%EC%9C%A0%EC%83%81%EC%A6%9D%EC%9E%90%20%EC%8B%A0%EC%A3%BC%20%EC%B7%A8%EB%93%9D%20%EC%A0%9C%ED%95%9C%EA%B3%BC%20%EB%A7%88%EC%B0%AC%EA%B0%80%EC%A7%80%EB%A1%9C%2C%20%ED%95%B4%EB%8B%B9%20%EA%B8%B0%EA%B0%84</t>
  </si>
  <si>
    <t>011790</t>
    <phoneticPr fontId="9" type="noConversion"/>
  </si>
  <si>
    <t>SKC</t>
    <phoneticPr fontId="9" type="noConversion"/>
  </si>
  <si>
    <t>권리락일</t>
    <phoneticPr fontId="9" type="noConversion"/>
  </si>
  <si>
    <t>유상증자 정정신고서 제출</t>
    <phoneticPr fontId="9" type="noConversion"/>
  </si>
  <si>
    <t>https://kind.krx.co.kr/common/disclsviewer.do?method=search&amp;acptno=20260417000585&amp;docno=&amp;viewerhost=&amp;viewerport=</t>
  </si>
  <si>
    <t>시장은 증권신고서가 확정이 안될 것임을 프라이싱하고 있음. 그렇지 않으면 5월물에 선물 가격이 -25% 가까이 나야함</t>
    <phoneticPr fontId="9" type="noConversion"/>
  </si>
  <si>
    <t>현금 2.5조, 현재 6월말까지 약 5천억 빚이 있음(리파이낸싱 ?) , 약 1.8조 유증 + 0.6조 매각으로 자금 조달 후 9천억 빚에 쓸 예정
그런데, 현재 매우 급박한 상황 -&gt; 이 때문에 정정신고서에 배정기준일 등 일정을 뒤로 미루지 않은 듯함</t>
    <phoneticPr fontId="9" type="noConversion"/>
  </si>
  <si>
    <t>4/28일과 마찬가지로 부국증권에서 인수권 매수 지속. 인수권 약 -1.5% 저평가</t>
    <phoneticPr fontId="9" type="noConversion"/>
  </si>
  <si>
    <t>금감원 정정공시 accept을 앞두고 매도차익거래 기회가 나타나기 시작 -1%</t>
    <phoneticPr fontId="9" type="noConversion"/>
  </si>
  <si>
    <t>한화솔루션</t>
    <phoneticPr fontId="9" type="noConversion"/>
  </si>
  <si>
    <t>3차 정정신고서 끝에 금감원 승인</t>
    <phoneticPr fontId="9" type="noConversion"/>
  </si>
  <si>
    <t>https://news.nate.com/view/20260611n09630</t>
  </si>
  <si>
    <t>6/11일 선물옵션만기일 7월물 - 약 2% 정도 선물이 저평나기 시작했다</t>
    <phoneticPr fontId="9" type="noConversion"/>
  </si>
  <si>
    <t>증자 전 발행주식 총수(보통주)</t>
    <phoneticPr fontId="9" type="noConversion"/>
  </si>
  <si>
    <r>
      <t>증자 전 발행주식 총수</t>
    </r>
    <r>
      <rPr>
        <sz val="11"/>
        <color rgb="FFFF0000"/>
        <rFont val="맑은 고딕"/>
        <family val="3"/>
        <charset val="129"/>
        <scheme val="minor"/>
      </rPr>
      <t>(우선주)</t>
    </r>
    <phoneticPr fontId="9" type="noConversion"/>
  </si>
  <si>
    <t>자기주식 수(보통주)</t>
    <phoneticPr fontId="9" type="noConversion"/>
  </si>
  <si>
    <r>
      <t>자기주식 수</t>
    </r>
    <r>
      <rPr>
        <sz val="11"/>
        <color rgb="FFFF0000"/>
        <rFont val="맑은 고딕"/>
        <family val="3"/>
        <charset val="129"/>
        <scheme val="minor"/>
      </rPr>
      <t>(우선주)</t>
    </r>
    <phoneticPr fontId="9" type="noConversion"/>
  </si>
  <si>
    <t>신주배정비율</t>
    <phoneticPr fontId="9" type="noConversion"/>
  </si>
  <si>
    <t>신주인수권 희석 이론가</t>
    <phoneticPr fontId="9" type="noConversion"/>
  </si>
  <si>
    <t>배정 신주인수권 가치</t>
    <phoneticPr fontId="9" type="noConversion"/>
  </si>
  <si>
    <t>현물 권리락 기준가</t>
    <phoneticPr fontId="9" type="noConversion"/>
  </si>
  <si>
    <t>권리락 기준가</t>
    <phoneticPr fontId="9" type="noConversion"/>
  </si>
  <si>
    <t>권리락일 현선 베이시스 거의 0. 단 가격은 10%이상 급등. 권리락일에 가까워질수록 베이시스 - 심해짐.</t>
    <phoneticPr fontId="9" type="noConversion"/>
  </si>
  <si>
    <t>선물 승수</t>
    <phoneticPr fontId="9" type="noConversion"/>
  </si>
  <si>
    <t>우리사주 배정분</t>
    <phoneticPr fontId="9" type="noConversion"/>
  </si>
  <si>
    <t>현물 권리락 기준가(배정기준)</t>
    <phoneticPr fontId="9" type="noConversion"/>
  </si>
  <si>
    <t>선물 승수(배정 기준)</t>
    <phoneticPr fontId="9" type="noConversion"/>
  </si>
  <si>
    <t>권리락 전</t>
    <phoneticPr fontId="9" type="noConversion"/>
  </si>
  <si>
    <t>권리락 후</t>
    <phoneticPr fontId="9" type="noConversion"/>
  </si>
  <si>
    <t>주식 보유수량</t>
    <phoneticPr fontId="9" type="noConversion"/>
  </si>
  <si>
    <t>신주인수권 보유(예정)수량</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</si>
</sst>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76" formatCode="yyyy\-mm\-dd"/>
    <numFmt numFmtId="177" formatCode="_(* #,##0_);_(* \(#,##0\);_(* &quot;-&quot;??_);_(@_)"/>
    <numFmt numFmtId="178" formatCode="0.0%"/>
    <numFmt numFmtId="179" formatCode="_(* #,##0.0000_);_(* \(#,##0.0000\);_(* &quot;-&quot;??_);_(@_)"/>
    <numFmt numFmtId="180" formatCode="0.000"/>
    <numFmt numFmtId="181" formatCode="0.00_);[Red]\(0.00\)"/>
    <numFmt numFmtId="192" formatCode="_(* #,##0.000000_);_(* \(#,##0.000000\);_(* &quot;-&quot;??_);_(@_)"/>
    <numFmt numFmtId="196" formatCode="_(* #,##0.0000000000_);_(* \(#,##0.0000000000\);_(* &quot;-&quot;??_);_(@_)"/>
    <numFmt numFmtId="206" formatCode="0.0000000000_);[Red]\(0.0000000000\)"/>
  </numFmts>
  <fonts count="18" x14ac:knownFonts="1">
    <font>
      <sz val="11"/>
      <color theme="1"/>
      <name val="맑은 고딕"/>
      <family val="2"/>
      <scheme val="minor"/>
    </font>
    <font>
      <sz val="9"/>
      <color theme="1"/>
      <name val="Arial"/>
      <family val="2"/>
    </font>
    <font>
      <b/>
      <sz val="9"/>
      <color rgb="FFFFFFFF"/>
      <name val="Arial"/>
      <family val="2"/>
    </font>
    <font>
      <sz val="9"/>
      <color rgb="FF325886"/>
      <name val="Arial"/>
      <family val="2"/>
    </font>
    <font>
      <sz val="9"/>
      <color rgb="FF0070C0"/>
      <name val="Arial"/>
      <family val="2"/>
    </font>
    <font>
      <sz val="9"/>
      <color indexed="54"/>
      <name val="Tahoma"/>
      <family val="2"/>
    </font>
    <font>
      <sz val="11"/>
      <color theme="1"/>
      <name val="맑은 고딕"/>
      <family val="2"/>
      <scheme val="minor"/>
    </font>
    <font>
      <sz val="10"/>
      <color rgb="FF3D3D3D"/>
      <name val="돋움체"/>
      <family val="3"/>
      <charset val="129"/>
    </font>
    <font>
      <b/>
      <sz val="11"/>
      <color theme="1"/>
      <name val="맑은 고딕"/>
      <family val="2"/>
      <scheme val="minor"/>
    </font>
    <font>
      <sz val="8"/>
      <name val="맑은 고딕"/>
      <family val="3"/>
      <charset val="129"/>
      <scheme val="minor"/>
    </font>
    <font>
      <sz val="11"/>
      <color rgb="FFFF0000"/>
      <name val="맑은 고딕"/>
      <family val="2"/>
      <scheme val="minor"/>
    </font>
    <font>
      <b/>
      <sz val="11"/>
      <color theme="1"/>
      <name val="맑은 고딕"/>
      <family val="3"/>
      <charset val="129"/>
      <scheme val="minor"/>
    </font>
    <font>
      <sz val="11"/>
      <color rgb="FF000000"/>
      <name val="맑은 고딕"/>
      <family val="3"/>
      <charset val="129"/>
    </font>
    <font>
      <sz val="9"/>
      <color indexed="81"/>
      <name val="Tahoma"/>
      <family val="2"/>
    </font>
    <font>
      <b/>
      <sz val="9"/>
      <color indexed="81"/>
      <name val="Tahoma"/>
      <family val="2"/>
    </font>
    <font>
      <sz val="9"/>
      <color indexed="81"/>
      <name val="돋움"/>
      <family val="3"/>
      <charset val="129"/>
    </font>
    <font>
      <sz val="11"/>
      <color theme="1"/>
      <name val="맑은 고딕"/>
      <family val="3"/>
      <charset val="129"/>
      <scheme val="minor"/>
    </font>
    <font>
      <sz val="11"/>
      <color rgb="FFFF0000"/>
      <name val="맑은 고딕"/>
      <family val="3"/>
      <charset val="129"/>
      <scheme val="minor"/>
    </font>
  </fonts>
  <fills count="11">
    <fill>
      <patternFill patternType="none"/>
    </fill>
    <fill>
      <patternFill patternType="gray125"/>
    </fill>
    <fill>
      <patternFill patternType="solid">
        <fgColor rgb="FF01185F"/>
        <bgColor indexed="64"/>
      </patternFill>
    </fill>
    <fill>
      <patternFill patternType="solid">
        <fgColor rgb="FFE7EEFD"/>
        <bgColor indexed="64"/>
      </patternFill>
    </fill>
    <fill>
      <patternFill patternType="solid">
        <fgColor rgb="FFABC3D6"/>
        <bgColor indexed="64"/>
      </patternFill>
    </fill>
    <fill>
      <patternFill patternType="solid">
        <fgColor rgb="FF87AAC5"/>
        <bgColor indexed="64"/>
      </patternFill>
    </fill>
    <fill>
      <patternFill patternType="solid">
        <fgColor rgb="FFEBEBEB"/>
        <bgColor indexed="64"/>
      </patternFill>
    </fill>
    <fill>
      <patternFill patternType="solid">
        <fgColor rgb="FFF5F5F5"/>
        <bgColor indexed="64"/>
      </patternFill>
    </fill>
    <fill>
      <patternFill patternType="solid">
        <fgColor rgb="FFF7F9FF"/>
        <bgColor indexed="64"/>
      </patternFill>
    </fill>
    <fill>
      <patternFill patternType="solid">
        <fgColor rgb="FFFFFF00"/>
        <bgColor indexed="64"/>
      </patternFill>
    </fill>
    <fill>
      <patternFill patternType="solid">
        <fgColor theme="4" tint="0.79998168889431442"/>
        <bgColor indexed="64"/>
      </patternFill>
    </fill>
  </fills>
  <borders count="21">
    <border>
      <left/>
      <right/>
      <top/>
      <bottom/>
      <diagonal/>
    </border>
    <border>
      <left/>
      <right/>
      <top/>
      <bottom style="thin">
        <color rgb="FFA6A6A6"/>
      </bottom>
      <diagonal/>
    </border>
    <border>
      <left style="thin">
        <color rgb="FF538DD5"/>
      </left>
      <right style="thin">
        <color rgb="FF538DD5"/>
      </right>
      <top style="thin">
        <color rgb="FF538DD5"/>
      </top>
      <bottom style="thin">
        <color rgb="FF538DD5"/>
      </bottom>
      <diagonal/>
    </border>
    <border>
      <left style="thin">
        <color rgb="FF538DD5"/>
      </left>
      <right style="thin">
        <color rgb="FF538DD5"/>
      </right>
      <top style="thin">
        <color rgb="FF538DD5"/>
      </top>
      <bottom/>
      <diagonal/>
    </border>
    <border>
      <left style="thin">
        <color rgb="FF538DD5"/>
      </left>
      <right/>
      <top style="thin">
        <color rgb="FF538DD5"/>
      </top>
      <bottom/>
      <diagonal/>
    </border>
    <border>
      <left style="thin">
        <color rgb="FF538DD5"/>
      </left>
      <right/>
      <top style="thin">
        <color rgb="FF538DD5"/>
      </top>
      <bottom style="thin">
        <color rgb="FF538DD5"/>
      </bottom>
      <diagonal/>
    </border>
    <border>
      <left/>
      <right/>
      <top/>
      <bottom style="thin">
        <color indexed="64"/>
      </bottom>
      <diagonal/>
    </border>
    <border>
      <left/>
      <right/>
      <top style="thin">
        <color indexed="64"/>
      </top>
      <bottom/>
      <diagonal/>
    </border>
    <border>
      <left style="thin">
        <color rgb="FF538DD5"/>
      </left>
      <right style="thin">
        <color rgb="FF538DD5"/>
      </right>
      <top/>
      <bottom style="thin">
        <color rgb="FF538DD5"/>
      </bottom>
      <diagonal/>
    </border>
    <border>
      <left style="medium">
        <color rgb="FF7F7F7F"/>
      </left>
      <right style="medium">
        <color rgb="FF7F7F7F"/>
      </right>
      <top style="medium">
        <color rgb="FF7F7F7F"/>
      </top>
      <bottom style="medium">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3">
    <xf numFmtId="0" fontId="0" fillId="0" borderId="0"/>
    <xf numFmtId="9" fontId="6" fillId="0" borderId="0" applyFont="0" applyFill="0" applyBorder="0" applyAlignment="0" applyProtection="0"/>
    <xf numFmtId="43" fontId="6" fillId="0" borderId="0" applyFont="0" applyFill="0" applyBorder="0" applyAlignment="0" applyProtection="0"/>
  </cellStyleXfs>
  <cellXfs count="96">
    <xf numFmtId="0" fontId="0" fillId="0" borderId="0" xfId="0"/>
    <xf numFmtId="0" fontId="2" fillId="2" borderId="0" xfId="0" applyFont="1" applyFill="1"/>
    <xf numFmtId="0" fontId="3" fillId="3" borderId="0" xfId="0" applyFont="1" applyFill="1"/>
    <xf numFmtId="0" fontId="1" fillId="5" borderId="0" xfId="0" applyFont="1" applyFill="1" applyAlignment="1">
      <alignment horizontal="center"/>
    </xf>
    <xf numFmtId="0" fontId="1" fillId="4" borderId="0" xfId="0" applyFont="1" applyFill="1" applyAlignment="1">
      <alignment horizontal="right"/>
    </xf>
    <xf numFmtId="176" fontId="1" fillId="6" borderId="0" xfId="0" applyNumberFormat="1" applyFont="1" applyFill="1" applyAlignment="1">
      <alignment horizontal="center"/>
    </xf>
    <xf numFmtId="3" fontId="1" fillId="7" borderId="0" xfId="0" applyNumberFormat="1" applyFont="1" applyFill="1" applyAlignment="1">
      <alignment horizontal="right"/>
    </xf>
    <xf numFmtId="176" fontId="1" fillId="6" borderId="1" xfId="0" applyNumberFormat="1" applyFont="1" applyFill="1" applyBorder="1" applyAlignment="1">
      <alignment horizontal="center"/>
    </xf>
    <xf numFmtId="3" fontId="1" fillId="7" borderId="1" xfId="0" applyNumberFormat="1" applyFont="1" applyFill="1" applyBorder="1" applyAlignment="1">
      <alignment horizontal="right"/>
    </xf>
    <xf numFmtId="0" fontId="4" fillId="8" borderId="2" xfId="0" applyFont="1" applyFill="1" applyBorder="1"/>
    <xf numFmtId="0" fontId="4" fillId="8" borderId="3" xfId="0" applyFont="1" applyFill="1" applyBorder="1"/>
    <xf numFmtId="0" fontId="4" fillId="8" borderId="4" xfId="0" applyFont="1" applyFill="1" applyBorder="1"/>
    <xf numFmtId="0" fontId="4" fillId="8" borderId="5" xfId="0" applyFont="1" applyFill="1" applyBorder="1"/>
    <xf numFmtId="176" fontId="1" fillId="9" borderId="1" xfId="0" applyNumberFormat="1" applyFont="1" applyFill="1" applyBorder="1" applyAlignment="1">
      <alignment horizontal="center"/>
    </xf>
    <xf numFmtId="3" fontId="1" fillId="9" borderId="1" xfId="0" applyNumberFormat="1" applyFont="1" applyFill="1" applyBorder="1" applyAlignment="1">
      <alignment horizontal="right"/>
    </xf>
    <xf numFmtId="0" fontId="0" fillId="9" borderId="0" xfId="0" applyFill="1"/>
    <xf numFmtId="14" fontId="0" fillId="0" borderId="0" xfId="0" applyNumberFormat="1"/>
    <xf numFmtId="0" fontId="3" fillId="3" borderId="6" xfId="0" applyFont="1" applyFill="1" applyBorder="1"/>
    <xf numFmtId="0" fontId="1" fillId="5" borderId="7" xfId="0" applyFont="1" applyFill="1" applyBorder="1" applyAlignment="1">
      <alignment horizontal="center"/>
    </xf>
    <xf numFmtId="0" fontId="1" fillId="4" borderId="7" xfId="0" applyFont="1" applyFill="1" applyBorder="1" applyAlignment="1">
      <alignment horizontal="right"/>
    </xf>
    <xf numFmtId="0" fontId="1" fillId="5" borderId="6" xfId="0" applyFont="1" applyFill="1" applyBorder="1" applyAlignment="1">
      <alignment horizontal="center"/>
    </xf>
    <xf numFmtId="0" fontId="1" fillId="4" borderId="6" xfId="0" applyFont="1" applyFill="1" applyBorder="1" applyAlignment="1">
      <alignment horizontal="right"/>
    </xf>
    <xf numFmtId="4" fontId="1" fillId="7" borderId="0" xfId="0" applyNumberFormat="1" applyFont="1" applyFill="1" applyAlignment="1">
      <alignment horizontal="right"/>
    </xf>
    <xf numFmtId="4" fontId="1" fillId="0" borderId="0" xfId="0" applyNumberFormat="1" applyFont="1" applyAlignment="1">
      <alignment horizontal="right"/>
    </xf>
    <xf numFmtId="4" fontId="1" fillId="7" borderId="1" xfId="0" applyNumberFormat="1" applyFont="1" applyFill="1" applyBorder="1" applyAlignment="1">
      <alignment horizontal="right"/>
    </xf>
    <xf numFmtId="4" fontId="1" fillId="0" borderId="1" xfId="0" applyNumberFormat="1" applyFont="1" applyBorder="1" applyAlignment="1">
      <alignment horizontal="right"/>
    </xf>
    <xf numFmtId="0" fontId="4" fillId="8" borderId="8" xfId="0" applyFont="1" applyFill="1" applyBorder="1"/>
    <xf numFmtId="176" fontId="1" fillId="9" borderId="0" xfId="0" applyNumberFormat="1" applyFont="1" applyFill="1" applyAlignment="1">
      <alignment horizontal="center"/>
    </xf>
    <xf numFmtId="3" fontId="1" fillId="9" borderId="0" xfId="0" applyNumberFormat="1" applyFont="1" applyFill="1" applyAlignment="1">
      <alignment horizontal="right"/>
    </xf>
    <xf numFmtId="0" fontId="7" fillId="0" borderId="9" xfId="0" applyFont="1" applyBorder="1" applyAlignment="1">
      <alignment vertical="center" wrapText="1"/>
    </xf>
    <xf numFmtId="2" fontId="0" fillId="0" borderId="0" xfId="0" applyNumberFormat="1"/>
    <xf numFmtId="2" fontId="1" fillId="4" borderId="0" xfId="0" applyNumberFormat="1" applyFont="1" applyFill="1" applyAlignment="1">
      <alignment horizontal="right"/>
    </xf>
    <xf numFmtId="2" fontId="0" fillId="9" borderId="0" xfId="0" applyNumberFormat="1" applyFill="1"/>
    <xf numFmtId="10" fontId="0" fillId="0" borderId="0" xfId="1" applyNumberFormat="1" applyFont="1"/>
    <xf numFmtId="10" fontId="0" fillId="9" borderId="0" xfId="1" applyNumberFormat="1" applyFont="1" applyFill="1"/>
    <xf numFmtId="0" fontId="8" fillId="0" borderId="0" xfId="0" applyFont="1"/>
    <xf numFmtId="0" fontId="0" fillId="0" borderId="10" xfId="0" applyBorder="1"/>
    <xf numFmtId="177" fontId="0" fillId="0" borderId="10" xfId="2" applyNumberFormat="1" applyFont="1" applyBorder="1"/>
    <xf numFmtId="14" fontId="0" fillId="0" borderId="10" xfId="0" applyNumberFormat="1" applyBorder="1"/>
    <xf numFmtId="0" fontId="0" fillId="9" borderId="10" xfId="0" applyFill="1" applyBorder="1"/>
    <xf numFmtId="2" fontId="0" fillId="0" borderId="10" xfId="0" applyNumberFormat="1" applyBorder="1"/>
    <xf numFmtId="49" fontId="0" fillId="0" borderId="10" xfId="0" quotePrefix="1" applyNumberFormat="1" applyBorder="1"/>
    <xf numFmtId="177" fontId="0" fillId="0" borderId="0" xfId="2" applyNumberFormat="1" applyFont="1"/>
    <xf numFmtId="14" fontId="0" fillId="9" borderId="0" xfId="0" applyNumberFormat="1" applyFill="1"/>
    <xf numFmtId="43" fontId="0" fillId="0" borderId="0" xfId="0" applyNumberFormat="1"/>
    <xf numFmtId="179" fontId="0" fillId="0" borderId="0" xfId="0" applyNumberFormat="1"/>
    <xf numFmtId="178" fontId="0" fillId="0" borderId="10" xfId="1" applyNumberFormat="1" applyFont="1" applyFill="1" applyBorder="1"/>
    <xf numFmtId="10" fontId="0" fillId="0" borderId="10" xfId="1" applyNumberFormat="1" applyFont="1" applyBorder="1"/>
    <xf numFmtId="14" fontId="8" fillId="0" borderId="0" xfId="0" applyNumberFormat="1" applyFont="1"/>
    <xf numFmtId="14" fontId="0" fillId="0" borderId="10" xfId="0" applyNumberFormat="1" applyBorder="1" applyAlignment="1">
      <alignment horizontal="left"/>
    </xf>
    <xf numFmtId="14" fontId="0" fillId="0" borderId="10" xfId="0" applyNumberFormat="1" applyBorder="1" applyAlignment="1">
      <alignment horizontal="center"/>
    </xf>
    <xf numFmtId="0" fontId="0" fillId="0" borderId="10" xfId="0" applyBorder="1" applyAlignment="1">
      <alignment horizontal="center"/>
    </xf>
    <xf numFmtId="177" fontId="0" fillId="0" borderId="10" xfId="0" applyNumberFormat="1" applyBorder="1"/>
    <xf numFmtId="177" fontId="0" fillId="9" borderId="10" xfId="2" applyNumberFormat="1" applyFont="1" applyFill="1" applyBorder="1"/>
    <xf numFmtId="180" fontId="0" fillId="9" borderId="10" xfId="0" applyNumberFormat="1" applyFill="1" applyBorder="1"/>
    <xf numFmtId="14" fontId="0" fillId="9" borderId="10" xfId="0" applyNumberFormat="1" applyFill="1" applyBorder="1"/>
    <xf numFmtId="0" fontId="10" fillId="0" borderId="0" xfId="0" applyFont="1"/>
    <xf numFmtId="0" fontId="11" fillId="0" borderId="0" xfId="0" applyFont="1"/>
    <xf numFmtId="0" fontId="8" fillId="0" borderId="0" xfId="0" applyFont="1" applyAlignment="1">
      <alignment horizontal="center"/>
    </xf>
    <xf numFmtId="0" fontId="11" fillId="0" borderId="0" xfId="0" applyFont="1" applyAlignment="1">
      <alignment horizontal="center"/>
    </xf>
    <xf numFmtId="181" fontId="0" fillId="0" borderId="10" xfId="1" applyNumberFormat="1" applyFont="1" applyFill="1" applyBorder="1"/>
    <xf numFmtId="14" fontId="16" fillId="9" borderId="10" xfId="0" applyNumberFormat="1" applyFont="1" applyFill="1" applyBorder="1"/>
    <xf numFmtId="0" fontId="16" fillId="0" borderId="10" xfId="0" applyFont="1" applyBorder="1"/>
    <xf numFmtId="0" fontId="0" fillId="0" borderId="0" xfId="0" applyAlignment="1">
      <alignment vertical="center"/>
    </xf>
    <xf numFmtId="177" fontId="0" fillId="0" borderId="0" xfId="2" applyNumberFormat="1" applyFont="1" applyAlignment="1">
      <alignment vertical="center"/>
    </xf>
    <xf numFmtId="0" fontId="0" fillId="0" borderId="10" xfId="0" applyBorder="1" applyAlignment="1">
      <alignment wrapText="1"/>
    </xf>
    <xf numFmtId="43" fontId="0" fillId="0" borderId="10" xfId="2" applyFont="1" applyBorder="1"/>
    <xf numFmtId="177" fontId="0" fillId="0" borderId="10" xfId="2" applyNumberFormat="1" applyFont="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1" xfId="0" applyBorder="1" applyAlignment="1">
      <alignment wrapText="1"/>
    </xf>
    <xf numFmtId="0" fontId="0" fillId="0" borderId="12" xfId="0" applyBorder="1" applyAlignment="1">
      <alignment wrapText="1"/>
    </xf>
    <xf numFmtId="196" fontId="0" fillId="0" borderId="0" xfId="0" applyNumberFormat="1"/>
    <xf numFmtId="10" fontId="0" fillId="0" borderId="0" xfId="1" applyNumberFormat="1" applyFont="1" applyBorder="1"/>
    <xf numFmtId="0" fontId="0" fillId="0" borderId="10" xfId="0" applyFill="1" applyBorder="1"/>
    <xf numFmtId="206" fontId="0" fillId="9" borderId="10" xfId="1" applyNumberFormat="1" applyFont="1" applyFill="1" applyBorder="1"/>
    <xf numFmtId="0" fontId="0" fillId="0" borderId="13" xfId="0" applyBorder="1"/>
    <xf numFmtId="177" fontId="0" fillId="0" borderId="14" xfId="2" applyNumberFormat="1" applyFont="1" applyBorder="1"/>
    <xf numFmtId="0" fontId="0" fillId="0" borderId="15" xfId="0" applyFill="1" applyBorder="1"/>
    <xf numFmtId="177" fontId="0" fillId="0" borderId="16" xfId="2" applyNumberFormat="1" applyFont="1" applyBorder="1"/>
    <xf numFmtId="0" fontId="0" fillId="10" borderId="15" xfId="0" applyFill="1" applyBorder="1"/>
    <xf numFmtId="0" fontId="0" fillId="0" borderId="17" xfId="0" applyBorder="1"/>
    <xf numFmtId="0" fontId="0" fillId="0" borderId="15" xfId="0" applyBorder="1"/>
    <xf numFmtId="0" fontId="0" fillId="0" borderId="19" xfId="0" applyBorder="1"/>
    <xf numFmtId="177" fontId="0" fillId="0" borderId="20" xfId="2" applyNumberFormat="1" applyFont="1" applyBorder="1"/>
    <xf numFmtId="177" fontId="0" fillId="9" borderId="18" xfId="2" applyNumberFormat="1" applyFont="1" applyFill="1" applyBorder="1"/>
    <xf numFmtId="177" fontId="0" fillId="9" borderId="14" xfId="2" applyNumberFormat="1" applyFont="1" applyFill="1" applyBorder="1"/>
    <xf numFmtId="192" fontId="0" fillId="9" borderId="10" xfId="2" applyNumberFormat="1" applyFont="1" applyFill="1" applyBorder="1"/>
    <xf numFmtId="0" fontId="10" fillId="0" borderId="15" xfId="0" applyFont="1" applyBorder="1"/>
    <xf numFmtId="0" fontId="10" fillId="0" borderId="10" xfId="0" applyFont="1" applyBorder="1"/>
    <xf numFmtId="177" fontId="0" fillId="0" borderId="0" xfId="0" applyNumberFormat="1" applyBorder="1"/>
    <xf numFmtId="0" fontId="11" fillId="0" borderId="10" xfId="0" applyFont="1" applyBorder="1"/>
    <xf numFmtId="43" fontId="0" fillId="0" borderId="10" xfId="2" applyNumberFormat="1" applyFont="1" applyBorder="1"/>
    <xf numFmtId="0" fontId="11" fillId="0" borderId="0" xfId="0" applyFont="1" applyFill="1" applyBorder="1"/>
    <xf numFmtId="177" fontId="0" fillId="0" borderId="0" xfId="2" applyNumberFormat="1" applyFont="1" applyFill="1" applyBorder="1"/>
    <xf numFmtId="43" fontId="0" fillId="0" borderId="0" xfId="2" applyNumberFormat="1" applyFont="1" applyFill="1" applyBorder="1"/>
  </cellXfs>
  <cellStyles count="3">
    <cellStyle name="백분율" xfId="1" builtinId="5"/>
    <cellStyle name="쉼표" xfId="2" builtinId="3"/>
    <cellStyle name="표준" xfId="0" builtinId="0"/>
  </cellStyles>
  <dxfs count="22">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frtdsvr.rtdproc">
      <tp t="b">
        <v>0</v>
        <stp/>
        <stp>011790</stp>
        <stp>0</stp>
        <tr r="A4" s="7"/>
      </tp>
      <tp t="b">
        <v>0</v>
        <stp/>
        <stp>011790</stp>
        <stp>3</stp>
        <tr r="C4" s="7"/>
      </tp>
      <tp t="b">
        <v>0</v>
        <stp/>
        <stp>009830</stp>
        <stp>0</stp>
        <tr r="A3" s="7"/>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14</xdr:col>
      <xdr:colOff>38100</xdr:colOff>
      <xdr:row>28</xdr:row>
      <xdr:rowOff>28575</xdr:rowOff>
    </xdr:from>
    <xdr:to>
      <xdr:col>32</xdr:col>
      <xdr:colOff>417352</xdr:colOff>
      <xdr:row>63</xdr:row>
      <xdr:rowOff>82849</xdr:rowOff>
    </xdr:to>
    <xdr:pic>
      <xdr:nvPicPr>
        <xdr:cNvPr id="2" name="그림 1">
          <a:extLst>
            <a:ext uri="{FF2B5EF4-FFF2-40B4-BE49-F238E27FC236}">
              <a16:creationId xmlns:a16="http://schemas.microsoft.com/office/drawing/2014/main" id="{55D9B151-7F38-4B99-9BD0-D9404E6C8CCF}"/>
            </a:ext>
          </a:extLst>
        </xdr:cNvPr>
        <xdr:cNvPicPr>
          <a:picLocks noChangeAspect="1"/>
        </xdr:cNvPicPr>
      </xdr:nvPicPr>
      <xdr:blipFill>
        <a:blip xmlns:r="http://schemas.openxmlformats.org/officeDocument/2006/relationships" r:embed="rId1"/>
        <a:stretch>
          <a:fillRect/>
        </a:stretch>
      </xdr:blipFill>
      <xdr:spPr>
        <a:xfrm>
          <a:off x="27241500" y="5895975"/>
          <a:ext cx="12723652" cy="7359949"/>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1228725</xdr:colOff>
          <xdr:row>4</xdr:row>
          <xdr:rowOff>9525</xdr:rowOff>
        </xdr:from>
        <xdr:to>
          <xdr:col>2</xdr:col>
          <xdr:colOff>1285875</xdr:colOff>
          <xdr:row>5</xdr:row>
          <xdr:rowOff>9525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날짜 업데이트</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38100</xdr:colOff>
      <xdr:row>28</xdr:row>
      <xdr:rowOff>28575</xdr:rowOff>
    </xdr:from>
    <xdr:to>
      <xdr:col>32</xdr:col>
      <xdr:colOff>417352</xdr:colOff>
      <xdr:row>63</xdr:row>
      <xdr:rowOff>38026</xdr:rowOff>
    </xdr:to>
    <xdr:pic>
      <xdr:nvPicPr>
        <xdr:cNvPr id="2" name="그림 1">
          <a:extLst>
            <a:ext uri="{FF2B5EF4-FFF2-40B4-BE49-F238E27FC236}">
              <a16:creationId xmlns:a16="http://schemas.microsoft.com/office/drawing/2014/main" id="{B8F1801A-CE91-9320-8507-3B872EF7672F}"/>
            </a:ext>
          </a:extLst>
        </xdr:cNvPr>
        <xdr:cNvPicPr>
          <a:picLocks noChangeAspect="1"/>
        </xdr:cNvPicPr>
      </xdr:nvPicPr>
      <xdr:blipFill>
        <a:blip xmlns:r="http://schemas.openxmlformats.org/officeDocument/2006/relationships" r:embed="rId1"/>
        <a:stretch>
          <a:fillRect/>
        </a:stretch>
      </xdr:blipFill>
      <xdr:spPr>
        <a:xfrm>
          <a:off x="24126825" y="5362575"/>
          <a:ext cx="11352052" cy="6712249"/>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1228725</xdr:colOff>
          <xdr:row>4</xdr:row>
          <xdr:rowOff>9525</xdr:rowOff>
        </xdr:from>
        <xdr:to>
          <xdr:col>2</xdr:col>
          <xdr:colOff>1285875</xdr:colOff>
          <xdr:row>5</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날짜 업데이트</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twoCellAnchor editAs="oneCell">
    <xdr:from>
      <xdr:col>14</xdr:col>
      <xdr:colOff>0</xdr:colOff>
      <xdr:row>61</xdr:row>
      <xdr:rowOff>0</xdr:rowOff>
    </xdr:from>
    <xdr:to>
      <xdr:col>23</xdr:col>
      <xdr:colOff>524160</xdr:colOff>
      <xdr:row>86</xdr:row>
      <xdr:rowOff>1015</xdr:rowOff>
    </xdr:to>
    <xdr:pic>
      <xdr:nvPicPr>
        <xdr:cNvPr id="3" name="그림 2">
          <a:extLst>
            <a:ext uri="{FF2B5EF4-FFF2-40B4-BE49-F238E27FC236}">
              <a16:creationId xmlns:a16="http://schemas.microsoft.com/office/drawing/2014/main" id="{1EE36993-9084-70B7-734F-8ED8933F4AE8}"/>
            </a:ext>
          </a:extLst>
        </xdr:cNvPr>
        <xdr:cNvPicPr>
          <a:picLocks noChangeAspect="1"/>
        </xdr:cNvPicPr>
      </xdr:nvPicPr>
      <xdr:blipFill>
        <a:blip xmlns:r="http://schemas.openxmlformats.org/officeDocument/2006/relationships" r:embed="rId2"/>
        <a:stretch>
          <a:fillRect/>
        </a:stretch>
      </xdr:blipFill>
      <xdr:spPr>
        <a:xfrm>
          <a:off x="27342353" y="13996147"/>
          <a:ext cx="6676190" cy="532380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1228725</xdr:colOff>
          <xdr:row>4</xdr:row>
          <xdr:rowOff>9525</xdr:rowOff>
        </xdr:from>
        <xdr:to>
          <xdr:col>2</xdr:col>
          <xdr:colOff>1285875</xdr:colOff>
          <xdr:row>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날짜 업데이트</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1228725</xdr:colOff>
          <xdr:row>4</xdr:row>
          <xdr:rowOff>9525</xdr:rowOff>
        </xdr:from>
        <xdr:to>
          <xdr:col>2</xdr:col>
          <xdr:colOff>1285875</xdr:colOff>
          <xdr:row>5</xdr:row>
          <xdr:rowOff>9525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날짜 업데이트</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wsDr>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ddeLink xmlns:r="http://schemas.openxmlformats.org/officeDocument/2006/relationships" ddeService="DDEServer" ddeTopic="SFACB605">
    <ddeItems>
      <ddeItem name="Item1" advise="1"/>
      <ddeItem name="Item2" advise="1"/>
      <ddeItem name="StdDocumentName" ole="1" advise="1"/>
    </ddeItems>
  </ddeLin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ddeLink xmlns:r="http://schemas.openxmlformats.org/officeDocument/2006/relationships" ddeService="DDEServer" ddeTopic="SFACB606">
    <ddeItems>
      <ddeItem name="Item1" advise="1"/>
      <ddeItem name="Item2" advise="1"/>
      <ddeItem name="Item4" advise="1"/>
      <ddeItem name="StdDocumentName" ole="1" advise="1"/>
    </ddeItems>
  </ddeLin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10</v>
    <v>38</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0B44E-AA19-42DD-9EA5-6E9A48C01382}">
  <sheetPr codeName="Sheet1"/>
  <dimension ref="A2:E373"/>
  <sheetViews>
    <sheetView showGridLines="0" topLeftCell="A61" workbookViewId="0">
      <selection activeCell="K61" sqref="K61"/>
    </sheetView>
  </sheetViews>
  <sheetFormatPr defaultRowHeight="16.5" x14ac:dyDescent="0.3"/>
  <cols>
    <col min="1" max="1" width="14.75" bestFit="1" customWidth="1"/>
    <col min="2" max="5" width="16.625" bestFit="1" customWidth="1"/>
    <col min="7" max="8" width="19.875" bestFit="1" customWidth="1"/>
    <col min="9" max="9" width="12.125" bestFit="1" customWidth="1"/>
  </cols>
  <sheetData>
    <row r="2" spans="1:5" x14ac:dyDescent="0.3">
      <c r="A2" s="1" t="s">
        <v>0</v>
      </c>
      <c r="B2" s="1"/>
      <c r="C2" s="1"/>
      <c r="D2" s="1"/>
      <c r="E2" s="1"/>
    </row>
    <row r="3" spans="1:5" x14ac:dyDescent="0.3">
      <c r="A3" s="2" t="s">
        <v>1</v>
      </c>
      <c r="B3" s="2" t="s">
        <v>2</v>
      </c>
      <c r="C3" s="9" t="s">
        <v>13</v>
      </c>
      <c r="D3" s="2"/>
      <c r="E3" s="2"/>
    </row>
    <row r="4" spans="1:5" x14ac:dyDescent="0.3">
      <c r="A4" s="2" t="s">
        <v>3</v>
      </c>
      <c r="B4" s="2" t="s">
        <v>2</v>
      </c>
      <c r="C4" s="2" t="s">
        <v>2</v>
      </c>
      <c r="D4" s="2"/>
      <c r="E4" s="2"/>
    </row>
    <row r="5" spans="1:5" x14ac:dyDescent="0.3">
      <c r="A5" s="2" t="s">
        <v>4</v>
      </c>
      <c r="B5" s="11" t="s">
        <v>9</v>
      </c>
      <c r="C5" s="10" t="s">
        <v>11</v>
      </c>
      <c r="D5" s="2"/>
      <c r="E5" s="2"/>
    </row>
    <row r="6" spans="1:5" x14ac:dyDescent="0.3">
      <c r="A6" s="2" t="s">
        <v>5</v>
      </c>
      <c r="B6" s="12" t="s">
        <v>10</v>
      </c>
      <c r="C6" s="9" t="s">
        <v>12</v>
      </c>
      <c r="D6" s="2"/>
      <c r="E6" s="2"/>
    </row>
    <row r="7" spans="1:5" x14ac:dyDescent="0.3">
      <c r="A7" s="3" t="s">
        <v>6</v>
      </c>
      <c r="B7" s="4" t="s">
        <v>8</v>
      </c>
      <c r="C7" s="4" t="s">
        <v>7</v>
      </c>
      <c r="D7" s="4" t="s">
        <v>14</v>
      </c>
      <c r="E7" s="4" t="s">
        <v>15</v>
      </c>
    </row>
    <row r="8" spans="1:5" x14ac:dyDescent="0.3">
      <c r="A8" s="5">
        <v>45753</v>
      </c>
      <c r="B8" s="6">
        <v>691264</v>
      </c>
      <c r="C8" s="6">
        <v>702000</v>
      </c>
      <c r="D8" s="6">
        <v>295403486500</v>
      </c>
      <c r="E8" s="6">
        <v>422746</v>
      </c>
    </row>
    <row r="9" spans="1:5" x14ac:dyDescent="0.3">
      <c r="A9" s="5">
        <v>45754</v>
      </c>
      <c r="B9" s="6">
        <v>632181</v>
      </c>
      <c r="C9" s="6">
        <v>642000</v>
      </c>
      <c r="D9" s="6">
        <v>268403522500</v>
      </c>
      <c r="E9" s="6">
        <v>412797</v>
      </c>
    </row>
    <row r="10" spans="1:5" x14ac:dyDescent="0.3">
      <c r="A10" s="5">
        <v>45755</v>
      </c>
      <c r="B10" s="6">
        <v>687325</v>
      </c>
      <c r="C10" s="6">
        <v>698000</v>
      </c>
      <c r="D10" s="6">
        <v>384305376000</v>
      </c>
      <c r="E10" s="6">
        <v>558169</v>
      </c>
    </row>
    <row r="11" spans="1:5" x14ac:dyDescent="0.3">
      <c r="A11" s="5">
        <v>45756</v>
      </c>
      <c r="B11" s="6">
        <v>680432</v>
      </c>
      <c r="C11" s="6">
        <v>691000</v>
      </c>
      <c r="D11" s="6">
        <v>284251921500</v>
      </c>
      <c r="E11" s="6">
        <v>411172</v>
      </c>
    </row>
    <row r="12" spans="1:5" x14ac:dyDescent="0.3">
      <c r="A12" s="7">
        <v>45757</v>
      </c>
      <c r="B12" s="8">
        <v>728682</v>
      </c>
      <c r="C12" s="8">
        <v>740000</v>
      </c>
      <c r="D12" s="8">
        <v>299795966500</v>
      </c>
      <c r="E12" s="8">
        <v>410554</v>
      </c>
    </row>
    <row r="13" spans="1:5" x14ac:dyDescent="0.3">
      <c r="A13" s="5">
        <v>45758</v>
      </c>
      <c r="B13" s="6">
        <v>767086</v>
      </c>
      <c r="C13" s="6">
        <v>779000</v>
      </c>
      <c r="D13" s="6">
        <v>290769631500</v>
      </c>
      <c r="E13" s="6">
        <v>379557</v>
      </c>
    </row>
    <row r="14" spans="1:5" x14ac:dyDescent="0.3">
      <c r="A14" s="5">
        <v>45759</v>
      </c>
      <c r="B14" s="6">
        <v>767086</v>
      </c>
      <c r="C14" s="6">
        <v>779000</v>
      </c>
      <c r="D14" s="6">
        <v>290769631500</v>
      </c>
      <c r="E14" s="6">
        <v>379557</v>
      </c>
    </row>
    <row r="15" spans="1:5" x14ac:dyDescent="0.3">
      <c r="A15" s="5">
        <v>45760</v>
      </c>
      <c r="B15" s="6">
        <v>767086</v>
      </c>
      <c r="C15" s="6">
        <v>779000</v>
      </c>
      <c r="D15" s="6">
        <v>290769631500</v>
      </c>
      <c r="E15" s="6">
        <v>379557</v>
      </c>
    </row>
    <row r="16" spans="1:5" x14ac:dyDescent="0.3">
      <c r="A16" s="5">
        <v>45761</v>
      </c>
      <c r="B16" s="6">
        <v>779887</v>
      </c>
      <c r="C16" s="6">
        <v>792000</v>
      </c>
      <c r="D16" s="6">
        <v>214277207500</v>
      </c>
      <c r="E16" s="6">
        <v>270675</v>
      </c>
    </row>
    <row r="17" spans="1:5" x14ac:dyDescent="0.3">
      <c r="A17" s="7">
        <v>45762</v>
      </c>
      <c r="B17" s="8">
        <v>759208</v>
      </c>
      <c r="C17" s="8">
        <v>771000</v>
      </c>
      <c r="D17" s="8">
        <v>196112725500</v>
      </c>
      <c r="E17" s="8">
        <v>253411</v>
      </c>
    </row>
    <row r="18" spans="1:5" x14ac:dyDescent="0.3">
      <c r="A18" s="5">
        <v>45763</v>
      </c>
      <c r="B18" s="6">
        <v>775948</v>
      </c>
      <c r="C18" s="6">
        <v>788000</v>
      </c>
      <c r="D18" s="6">
        <v>201694988000</v>
      </c>
      <c r="E18" s="6">
        <v>257199</v>
      </c>
    </row>
    <row r="19" spans="1:5" x14ac:dyDescent="0.3">
      <c r="A19" s="5">
        <v>45764</v>
      </c>
      <c r="B19" s="6">
        <v>803520</v>
      </c>
      <c r="C19" s="6">
        <v>816000</v>
      </c>
      <c r="D19" s="6">
        <v>259904194500</v>
      </c>
      <c r="E19" s="6">
        <v>325239</v>
      </c>
    </row>
    <row r="20" spans="1:5" x14ac:dyDescent="0.3">
      <c r="A20" s="5">
        <v>45765</v>
      </c>
      <c r="B20" s="6">
        <v>815336</v>
      </c>
      <c r="C20" s="6">
        <v>828000</v>
      </c>
      <c r="D20" s="6">
        <v>295214147000</v>
      </c>
      <c r="E20" s="6">
        <v>351310</v>
      </c>
    </row>
    <row r="21" spans="1:5" x14ac:dyDescent="0.3">
      <c r="A21" s="5">
        <v>45766</v>
      </c>
      <c r="B21" s="6">
        <v>815336</v>
      </c>
      <c r="C21" s="6">
        <v>828000</v>
      </c>
      <c r="D21" s="6">
        <v>295214147000</v>
      </c>
      <c r="E21" s="6">
        <v>351310</v>
      </c>
    </row>
    <row r="22" spans="1:5" x14ac:dyDescent="0.3">
      <c r="A22" s="7">
        <v>45767</v>
      </c>
      <c r="B22" s="8">
        <v>815336</v>
      </c>
      <c r="C22" s="8">
        <v>828000</v>
      </c>
      <c r="D22" s="8">
        <v>295214147000</v>
      </c>
      <c r="E22" s="8">
        <v>351310</v>
      </c>
    </row>
    <row r="23" spans="1:5" x14ac:dyDescent="0.3">
      <c r="A23" s="5">
        <v>45768</v>
      </c>
      <c r="B23" s="6">
        <v>817306</v>
      </c>
      <c r="C23" s="6">
        <v>830000</v>
      </c>
      <c r="D23" s="6">
        <v>164615140500</v>
      </c>
      <c r="E23" s="6">
        <v>198259</v>
      </c>
    </row>
    <row r="24" spans="1:5" x14ac:dyDescent="0.3">
      <c r="A24" s="5">
        <v>45769</v>
      </c>
      <c r="B24" s="6">
        <v>817306</v>
      </c>
      <c r="C24" s="6">
        <v>830000</v>
      </c>
      <c r="D24" s="6">
        <v>126100062000</v>
      </c>
      <c r="E24" s="6">
        <v>151172</v>
      </c>
    </row>
    <row r="25" spans="1:5" x14ac:dyDescent="0.3">
      <c r="A25" s="5">
        <v>45770</v>
      </c>
      <c r="B25" s="6">
        <v>801551</v>
      </c>
      <c r="C25" s="6">
        <v>814000</v>
      </c>
      <c r="D25" s="6">
        <v>157025572500</v>
      </c>
      <c r="E25" s="6">
        <v>191206</v>
      </c>
    </row>
    <row r="26" spans="1:5" x14ac:dyDescent="0.3">
      <c r="A26" s="5">
        <v>45771</v>
      </c>
      <c r="B26" s="6">
        <v>811398</v>
      </c>
      <c r="C26" s="6">
        <v>824000</v>
      </c>
      <c r="D26" s="6">
        <v>135585771000</v>
      </c>
      <c r="E26" s="6">
        <v>164949</v>
      </c>
    </row>
    <row r="27" spans="1:5" x14ac:dyDescent="0.3">
      <c r="A27" s="7">
        <v>45772</v>
      </c>
      <c r="B27" s="8">
        <v>811398</v>
      </c>
      <c r="C27" s="8">
        <v>824000</v>
      </c>
      <c r="D27" s="8">
        <v>198582335000</v>
      </c>
      <c r="E27" s="8">
        <v>242091</v>
      </c>
    </row>
    <row r="28" spans="1:5" x14ac:dyDescent="0.3">
      <c r="A28" s="5">
        <v>45773</v>
      </c>
      <c r="B28" s="6">
        <v>811398</v>
      </c>
      <c r="C28" s="6">
        <v>824000</v>
      </c>
      <c r="D28" s="6">
        <v>198582335000</v>
      </c>
      <c r="E28" s="6">
        <v>242091</v>
      </c>
    </row>
    <row r="29" spans="1:5" x14ac:dyDescent="0.3">
      <c r="A29" s="5">
        <v>45774</v>
      </c>
      <c r="B29" s="6">
        <v>811398</v>
      </c>
      <c r="C29" s="6">
        <v>824000</v>
      </c>
      <c r="D29" s="6">
        <v>198582335000</v>
      </c>
      <c r="E29" s="6">
        <v>242091</v>
      </c>
    </row>
    <row r="30" spans="1:5" x14ac:dyDescent="0.3">
      <c r="A30" s="5">
        <v>45775</v>
      </c>
      <c r="B30" s="6">
        <v>814352</v>
      </c>
      <c r="C30" s="6">
        <v>827000</v>
      </c>
      <c r="D30" s="6">
        <v>274013649000</v>
      </c>
      <c r="E30" s="6">
        <v>331266</v>
      </c>
    </row>
    <row r="31" spans="1:5" x14ac:dyDescent="0.3">
      <c r="A31" s="5">
        <v>45776</v>
      </c>
      <c r="B31" s="6">
        <v>796627</v>
      </c>
      <c r="C31" s="6">
        <v>809000</v>
      </c>
      <c r="D31" s="6">
        <v>217480454000</v>
      </c>
      <c r="E31" s="6">
        <v>270124</v>
      </c>
    </row>
    <row r="32" spans="1:5" x14ac:dyDescent="0.3">
      <c r="A32" s="7">
        <v>45777</v>
      </c>
      <c r="B32" s="8">
        <v>784811</v>
      </c>
      <c r="C32" s="8">
        <v>797000</v>
      </c>
      <c r="D32" s="8">
        <v>407934044000</v>
      </c>
      <c r="E32" s="8">
        <v>509064</v>
      </c>
    </row>
    <row r="33" spans="1:5" x14ac:dyDescent="0.3">
      <c r="A33" s="5">
        <v>45778</v>
      </c>
      <c r="B33" s="6">
        <v>784811</v>
      </c>
      <c r="C33" s="6">
        <v>797000</v>
      </c>
      <c r="D33" s="6">
        <v>407934044000</v>
      </c>
      <c r="E33" s="6">
        <v>509064</v>
      </c>
    </row>
    <row r="34" spans="1:5" x14ac:dyDescent="0.3">
      <c r="A34" s="5">
        <v>45779</v>
      </c>
      <c r="B34" s="6">
        <v>805489</v>
      </c>
      <c r="C34" s="6">
        <v>818000</v>
      </c>
      <c r="D34" s="6">
        <v>217376295500</v>
      </c>
      <c r="E34" s="6">
        <v>268277</v>
      </c>
    </row>
    <row r="35" spans="1:5" x14ac:dyDescent="0.3">
      <c r="A35" s="5">
        <v>45780</v>
      </c>
      <c r="B35" s="6">
        <v>805489</v>
      </c>
      <c r="C35" s="6">
        <v>818000</v>
      </c>
      <c r="D35" s="6">
        <v>217376295500</v>
      </c>
      <c r="E35" s="6">
        <v>268277</v>
      </c>
    </row>
    <row r="36" spans="1:5" x14ac:dyDescent="0.3">
      <c r="A36" s="5">
        <v>45781</v>
      </c>
      <c r="B36" s="6">
        <v>805489</v>
      </c>
      <c r="C36" s="6">
        <v>818000</v>
      </c>
      <c r="D36" s="6">
        <v>217376295500</v>
      </c>
      <c r="E36" s="6">
        <v>268277</v>
      </c>
    </row>
    <row r="37" spans="1:5" x14ac:dyDescent="0.3">
      <c r="A37" s="7">
        <v>45782</v>
      </c>
      <c r="B37" s="8">
        <v>805489</v>
      </c>
      <c r="C37" s="8">
        <v>818000</v>
      </c>
      <c r="D37" s="8">
        <v>217376295500</v>
      </c>
      <c r="E37" s="8">
        <v>268277</v>
      </c>
    </row>
    <row r="38" spans="1:5" x14ac:dyDescent="0.3">
      <c r="A38" s="5">
        <v>45783</v>
      </c>
      <c r="B38" s="6">
        <v>805489</v>
      </c>
      <c r="C38" s="6">
        <v>818000</v>
      </c>
      <c r="D38" s="6">
        <v>217376295500</v>
      </c>
      <c r="E38" s="6">
        <v>268277</v>
      </c>
    </row>
    <row r="39" spans="1:5" x14ac:dyDescent="0.3">
      <c r="A39" s="5">
        <v>45784</v>
      </c>
      <c r="B39" s="6">
        <v>876388</v>
      </c>
      <c r="C39" s="6">
        <v>890000</v>
      </c>
      <c r="D39" s="6">
        <v>401580447000</v>
      </c>
      <c r="E39" s="6">
        <v>468435</v>
      </c>
    </row>
    <row r="40" spans="1:5" x14ac:dyDescent="0.3">
      <c r="A40" s="5">
        <v>45785</v>
      </c>
      <c r="B40" s="6">
        <v>869495</v>
      </c>
      <c r="C40" s="6">
        <v>883000</v>
      </c>
      <c r="D40" s="6">
        <v>286285916000</v>
      </c>
      <c r="E40" s="6">
        <v>324345</v>
      </c>
    </row>
    <row r="41" spans="1:5" x14ac:dyDescent="0.3">
      <c r="A41" s="5">
        <v>45786</v>
      </c>
      <c r="B41" s="6">
        <v>864572</v>
      </c>
      <c r="C41" s="6">
        <v>878000</v>
      </c>
      <c r="D41" s="6">
        <v>324800403932</v>
      </c>
      <c r="E41" s="6">
        <v>368386</v>
      </c>
    </row>
    <row r="42" spans="1:5" x14ac:dyDescent="0.3">
      <c r="A42" s="7">
        <v>45787</v>
      </c>
      <c r="B42" s="8">
        <v>864572</v>
      </c>
      <c r="C42" s="8">
        <v>878000</v>
      </c>
      <c r="D42" s="8">
        <v>324800403932</v>
      </c>
      <c r="E42" s="8">
        <v>368386</v>
      </c>
    </row>
    <row r="43" spans="1:5" x14ac:dyDescent="0.3">
      <c r="A43" s="5">
        <v>45788</v>
      </c>
      <c r="B43" s="6">
        <v>864572</v>
      </c>
      <c r="C43" s="6">
        <v>878000</v>
      </c>
      <c r="D43" s="6">
        <v>324800403932</v>
      </c>
      <c r="E43" s="6">
        <v>368386</v>
      </c>
    </row>
    <row r="44" spans="1:5" x14ac:dyDescent="0.3">
      <c r="A44" s="5">
        <v>45789</v>
      </c>
      <c r="B44" s="6">
        <v>807459</v>
      </c>
      <c r="C44" s="6">
        <v>820000</v>
      </c>
      <c r="D44" s="6">
        <v>239913965000</v>
      </c>
      <c r="E44" s="6">
        <v>285226</v>
      </c>
    </row>
    <row r="45" spans="1:5" x14ac:dyDescent="0.3">
      <c r="A45" s="5">
        <v>45790</v>
      </c>
      <c r="B45" s="6">
        <v>791704</v>
      </c>
      <c r="C45" s="6">
        <v>804000</v>
      </c>
      <c r="D45" s="6">
        <v>289776627500</v>
      </c>
      <c r="E45" s="6">
        <v>360960</v>
      </c>
    </row>
    <row r="46" spans="1:5" x14ac:dyDescent="0.3">
      <c r="A46" s="5">
        <v>45791</v>
      </c>
      <c r="B46" s="6">
        <v>807459</v>
      </c>
      <c r="C46" s="6">
        <v>820000</v>
      </c>
      <c r="D46" s="6">
        <v>227217515500</v>
      </c>
      <c r="E46" s="6">
        <v>275966</v>
      </c>
    </row>
    <row r="47" spans="1:5" x14ac:dyDescent="0.3">
      <c r="A47" s="7">
        <v>45792</v>
      </c>
      <c r="B47" s="8">
        <v>809428</v>
      </c>
      <c r="C47" s="8">
        <v>822000</v>
      </c>
      <c r="D47" s="8">
        <v>135023988500</v>
      </c>
      <c r="E47" s="8">
        <v>164929</v>
      </c>
    </row>
    <row r="48" spans="1:5" x14ac:dyDescent="0.3">
      <c r="A48" s="5">
        <v>45793</v>
      </c>
      <c r="B48" s="6">
        <v>828138</v>
      </c>
      <c r="C48" s="6">
        <v>841000</v>
      </c>
      <c r="D48" s="6">
        <v>134322523000</v>
      </c>
      <c r="E48" s="6">
        <v>160353</v>
      </c>
    </row>
    <row r="49" spans="1:5" x14ac:dyDescent="0.3">
      <c r="A49" s="5">
        <v>45794</v>
      </c>
      <c r="B49" s="6">
        <v>828138</v>
      </c>
      <c r="C49" s="6">
        <v>841000</v>
      </c>
      <c r="D49" s="6">
        <v>134322523000</v>
      </c>
      <c r="E49" s="6">
        <v>160353</v>
      </c>
    </row>
    <row r="50" spans="1:5" x14ac:dyDescent="0.3">
      <c r="A50" s="5">
        <v>45795</v>
      </c>
      <c r="B50" s="6">
        <v>828138</v>
      </c>
      <c r="C50" s="6">
        <v>841000</v>
      </c>
      <c r="D50" s="6">
        <v>134322523000</v>
      </c>
      <c r="E50" s="6">
        <v>160353</v>
      </c>
    </row>
    <row r="51" spans="1:5" x14ac:dyDescent="0.3">
      <c r="A51" s="5">
        <v>45796</v>
      </c>
      <c r="B51" s="6">
        <v>826168</v>
      </c>
      <c r="C51" s="6">
        <v>839000</v>
      </c>
      <c r="D51" s="6">
        <v>91733738000</v>
      </c>
      <c r="E51" s="6">
        <v>109527</v>
      </c>
    </row>
    <row r="52" spans="1:5" s="15" customFormat="1" x14ac:dyDescent="0.3">
      <c r="A52" s="13">
        <v>45797</v>
      </c>
      <c r="B52" s="14">
        <v>802535</v>
      </c>
      <c r="C52" s="14">
        <v>815000</v>
      </c>
      <c r="D52" s="14">
        <v>150183896500</v>
      </c>
      <c r="E52" s="14">
        <v>181366</v>
      </c>
    </row>
    <row r="53" spans="1:5" x14ac:dyDescent="0.3">
      <c r="A53" s="5">
        <v>45798</v>
      </c>
      <c r="B53" s="6">
        <v>837000</v>
      </c>
      <c r="C53" s="6">
        <v>850000</v>
      </c>
      <c r="D53" s="6">
        <v>202689981000</v>
      </c>
      <c r="E53" s="6">
        <v>241037</v>
      </c>
    </row>
    <row r="54" spans="1:5" x14ac:dyDescent="0.3">
      <c r="A54" s="5">
        <v>45799</v>
      </c>
      <c r="B54" s="6">
        <v>833000</v>
      </c>
      <c r="C54" s="6">
        <v>833000</v>
      </c>
      <c r="D54" s="6">
        <v>126666650000</v>
      </c>
      <c r="E54" s="6">
        <v>152390</v>
      </c>
    </row>
    <row r="55" spans="1:5" s="15" customFormat="1" x14ac:dyDescent="0.3">
      <c r="A55" s="27">
        <v>45800</v>
      </c>
      <c r="B55" s="28">
        <v>830000</v>
      </c>
      <c r="C55" s="28">
        <v>830000</v>
      </c>
      <c r="D55" s="28">
        <v>112064399000</v>
      </c>
      <c r="E55" s="28">
        <v>136055</v>
      </c>
    </row>
    <row r="56" spans="1:5" x14ac:dyDescent="0.3">
      <c r="A56" s="5">
        <v>45801</v>
      </c>
      <c r="B56" s="6">
        <v>830000</v>
      </c>
      <c r="C56" s="6">
        <v>830000</v>
      </c>
      <c r="D56" s="6">
        <v>112064399000</v>
      </c>
      <c r="E56" s="6">
        <v>136055</v>
      </c>
    </row>
    <row r="57" spans="1:5" x14ac:dyDescent="0.3">
      <c r="A57" s="7">
        <v>45802</v>
      </c>
      <c r="B57" s="8">
        <v>830000</v>
      </c>
      <c r="C57" s="8">
        <v>830000</v>
      </c>
      <c r="D57" s="8">
        <v>112064399000</v>
      </c>
      <c r="E57" s="8">
        <v>136055</v>
      </c>
    </row>
    <row r="58" spans="1:5" x14ac:dyDescent="0.3">
      <c r="A58" s="5">
        <v>45803</v>
      </c>
      <c r="B58" s="6">
        <v>833000</v>
      </c>
      <c r="C58" s="6">
        <v>833000</v>
      </c>
      <c r="D58" s="6">
        <v>138728492000</v>
      </c>
      <c r="E58" s="6">
        <v>169509</v>
      </c>
    </row>
    <row r="59" spans="1:5" x14ac:dyDescent="0.3">
      <c r="A59" s="5">
        <v>45804</v>
      </c>
      <c r="B59" s="6">
        <v>887000</v>
      </c>
      <c r="C59" s="6">
        <v>887000</v>
      </c>
      <c r="D59" s="6">
        <v>322480514500</v>
      </c>
      <c r="E59" s="6">
        <v>369030</v>
      </c>
    </row>
    <row r="60" spans="1:5" x14ac:dyDescent="0.3">
      <c r="A60" s="5">
        <v>45805</v>
      </c>
      <c r="B60" s="6">
        <v>832000</v>
      </c>
      <c r="C60" s="6">
        <v>832000</v>
      </c>
      <c r="D60" s="6">
        <v>275343661000</v>
      </c>
      <c r="E60" s="6">
        <v>320783</v>
      </c>
    </row>
    <row r="61" spans="1:5" x14ac:dyDescent="0.3">
      <c r="A61" s="5">
        <v>45806</v>
      </c>
      <c r="B61" s="6">
        <v>857000</v>
      </c>
      <c r="C61" s="6">
        <v>857000</v>
      </c>
      <c r="D61" s="6">
        <v>200746852000</v>
      </c>
      <c r="E61" s="6">
        <v>234459</v>
      </c>
    </row>
    <row r="62" spans="1:5" x14ac:dyDescent="0.3">
      <c r="A62" s="7">
        <v>45807</v>
      </c>
      <c r="B62" s="8">
        <v>811000</v>
      </c>
      <c r="C62" s="8">
        <v>811000</v>
      </c>
      <c r="D62" s="8">
        <v>358819672500</v>
      </c>
      <c r="E62" s="8">
        <v>436671</v>
      </c>
    </row>
    <row r="63" spans="1:5" x14ac:dyDescent="0.3">
      <c r="A63" s="5">
        <v>45808</v>
      </c>
      <c r="B63" s="6">
        <v>811000</v>
      </c>
      <c r="C63" s="6">
        <v>811000</v>
      </c>
      <c r="D63" s="6">
        <v>358819672500</v>
      </c>
      <c r="E63" s="6">
        <v>436671</v>
      </c>
    </row>
    <row r="64" spans="1:5" x14ac:dyDescent="0.3">
      <c r="A64" s="5">
        <v>45809</v>
      </c>
      <c r="B64" s="6">
        <v>811000</v>
      </c>
      <c r="C64" s="6">
        <v>811000</v>
      </c>
      <c r="D64" s="6">
        <v>358819672500</v>
      </c>
      <c r="E64" s="6">
        <v>436671</v>
      </c>
    </row>
    <row r="65" spans="1:5" x14ac:dyDescent="0.3">
      <c r="A65" s="5">
        <v>45810</v>
      </c>
      <c r="B65" s="6">
        <v>835000</v>
      </c>
      <c r="C65" s="6">
        <v>835000</v>
      </c>
      <c r="D65" s="6">
        <v>130125590500</v>
      </c>
      <c r="E65" s="6">
        <v>156208</v>
      </c>
    </row>
    <row r="66" spans="1:5" x14ac:dyDescent="0.3">
      <c r="A66" s="5">
        <v>45811</v>
      </c>
      <c r="B66" s="6">
        <v>835000</v>
      </c>
      <c r="C66" s="6">
        <v>835000</v>
      </c>
      <c r="D66" s="6">
        <v>130125590500</v>
      </c>
      <c r="E66" s="6">
        <v>156208</v>
      </c>
    </row>
    <row r="67" spans="1:5" x14ac:dyDescent="0.3">
      <c r="A67" s="7">
        <v>45812</v>
      </c>
      <c r="B67" s="8">
        <v>845000</v>
      </c>
      <c r="C67" s="8">
        <v>845000</v>
      </c>
      <c r="D67" s="8">
        <v>178433840000</v>
      </c>
      <c r="E67" s="8">
        <v>213653</v>
      </c>
    </row>
    <row r="68" spans="1:5" x14ac:dyDescent="0.3">
      <c r="A68" s="5">
        <v>45813</v>
      </c>
      <c r="B68" s="6">
        <v>905000</v>
      </c>
      <c r="C68" s="6">
        <v>905000</v>
      </c>
      <c r="D68" s="6">
        <v>457733740965</v>
      </c>
      <c r="E68" s="6">
        <v>512018</v>
      </c>
    </row>
    <row r="69" spans="1:5" x14ac:dyDescent="0.3">
      <c r="A69" s="5">
        <v>45814</v>
      </c>
      <c r="B69" s="6">
        <v>905000</v>
      </c>
      <c r="C69" s="6">
        <v>905000</v>
      </c>
      <c r="D69" s="6">
        <v>457733740965</v>
      </c>
      <c r="E69" s="6">
        <v>512018</v>
      </c>
    </row>
    <row r="70" spans="1:5" x14ac:dyDescent="0.3">
      <c r="A70" s="5">
        <v>45815</v>
      </c>
      <c r="B70" s="6">
        <v>905000</v>
      </c>
      <c r="C70" s="6">
        <v>905000</v>
      </c>
      <c r="D70" s="6">
        <v>457733740965</v>
      </c>
      <c r="E70" s="6">
        <v>512018</v>
      </c>
    </row>
    <row r="71" spans="1:5" x14ac:dyDescent="0.3">
      <c r="A71" s="5">
        <v>45816</v>
      </c>
      <c r="B71" s="6">
        <v>905000</v>
      </c>
      <c r="C71" s="6">
        <v>905000</v>
      </c>
      <c r="D71" s="6">
        <v>457733740965</v>
      </c>
      <c r="E71" s="6">
        <v>512018</v>
      </c>
    </row>
    <row r="72" spans="1:5" x14ac:dyDescent="0.3">
      <c r="A72" s="7">
        <v>45817</v>
      </c>
      <c r="B72" s="8">
        <v>880000</v>
      </c>
      <c r="C72" s="8">
        <v>880000</v>
      </c>
      <c r="D72" s="8">
        <v>249291234500</v>
      </c>
      <c r="E72" s="8">
        <v>284593</v>
      </c>
    </row>
    <row r="73" spans="1:5" x14ac:dyDescent="0.3">
      <c r="A73" s="5">
        <v>45818</v>
      </c>
      <c r="B73" s="6">
        <v>936000</v>
      </c>
      <c r="C73" s="6">
        <v>936000</v>
      </c>
      <c r="D73" s="6">
        <v>312882999039</v>
      </c>
      <c r="E73" s="6">
        <v>337596</v>
      </c>
    </row>
    <row r="74" spans="1:5" x14ac:dyDescent="0.3">
      <c r="A74" s="5">
        <v>45819</v>
      </c>
      <c r="B74" s="6">
        <v>905000</v>
      </c>
      <c r="C74" s="6">
        <v>905000</v>
      </c>
      <c r="D74" s="6">
        <v>378717819000</v>
      </c>
      <c r="E74" s="6">
        <v>414770</v>
      </c>
    </row>
    <row r="75" spans="1:5" x14ac:dyDescent="0.3">
      <c r="A75" s="5">
        <v>45820</v>
      </c>
      <c r="B75" s="6">
        <v>953000</v>
      </c>
      <c r="C75" s="6">
        <v>953000</v>
      </c>
      <c r="D75" s="6">
        <v>414204751000</v>
      </c>
      <c r="E75" s="6">
        <v>442140</v>
      </c>
    </row>
    <row r="76" spans="1:5" x14ac:dyDescent="0.3">
      <c r="A76" s="5">
        <v>45821</v>
      </c>
      <c r="B76" s="6">
        <v>945000</v>
      </c>
      <c r="C76" s="6">
        <v>945000</v>
      </c>
      <c r="D76" s="6">
        <v>469667906000</v>
      </c>
      <c r="E76" s="6">
        <v>493711</v>
      </c>
    </row>
    <row r="77" spans="1:5" x14ac:dyDescent="0.3">
      <c r="A77" s="7">
        <v>45822</v>
      </c>
      <c r="B77" s="8">
        <v>945000</v>
      </c>
      <c r="C77" s="8">
        <v>945000</v>
      </c>
      <c r="D77" s="8">
        <v>469667906000</v>
      </c>
      <c r="E77" s="8">
        <v>493711</v>
      </c>
    </row>
    <row r="78" spans="1:5" x14ac:dyDescent="0.3">
      <c r="A78" s="5">
        <v>45823</v>
      </c>
      <c r="B78" s="6">
        <v>945000</v>
      </c>
      <c r="C78" s="6">
        <v>945000</v>
      </c>
      <c r="D78" s="6">
        <v>469667906000</v>
      </c>
      <c r="E78" s="6">
        <v>493711</v>
      </c>
    </row>
    <row r="79" spans="1:5" x14ac:dyDescent="0.3">
      <c r="A79" s="5">
        <v>45824</v>
      </c>
      <c r="B79" s="6">
        <v>970000</v>
      </c>
      <c r="C79" s="6">
        <v>970000</v>
      </c>
      <c r="D79" s="6">
        <v>316379635000</v>
      </c>
      <c r="E79" s="6">
        <v>326298</v>
      </c>
    </row>
    <row r="80" spans="1:5" x14ac:dyDescent="0.3">
      <c r="A80" s="5">
        <v>45825</v>
      </c>
      <c r="B80" s="6">
        <v>954000</v>
      </c>
      <c r="C80" s="6">
        <v>954000</v>
      </c>
      <c r="D80" s="6">
        <v>257235328500</v>
      </c>
      <c r="E80" s="6">
        <v>270383</v>
      </c>
    </row>
    <row r="81" spans="1:5" x14ac:dyDescent="0.3">
      <c r="A81" s="5">
        <v>45826</v>
      </c>
      <c r="B81" s="6">
        <v>927000</v>
      </c>
      <c r="C81" s="6">
        <v>927000</v>
      </c>
      <c r="D81" s="6">
        <v>242546091410</v>
      </c>
      <c r="E81" s="6">
        <v>257813</v>
      </c>
    </row>
    <row r="82" spans="1:5" x14ac:dyDescent="0.3">
      <c r="A82" s="7">
        <v>45827</v>
      </c>
      <c r="B82" s="8">
        <v>934000</v>
      </c>
      <c r="C82" s="8">
        <v>934000</v>
      </c>
      <c r="D82" s="8">
        <v>183436543000</v>
      </c>
      <c r="E82" s="8">
        <v>198303</v>
      </c>
    </row>
    <row r="83" spans="1:5" x14ac:dyDescent="0.3">
      <c r="A83" s="5">
        <v>45828</v>
      </c>
      <c r="B83" s="6">
        <v>938000</v>
      </c>
      <c r="C83" s="6">
        <v>938000</v>
      </c>
      <c r="D83" s="6">
        <v>395285915500</v>
      </c>
      <c r="E83" s="6">
        <v>419837</v>
      </c>
    </row>
    <row r="84" spans="1:5" x14ac:dyDescent="0.3">
      <c r="A84" s="5">
        <v>45829</v>
      </c>
      <c r="B84" s="6">
        <v>938000</v>
      </c>
      <c r="C84" s="6">
        <v>938000</v>
      </c>
      <c r="D84" s="6">
        <v>395285915500</v>
      </c>
      <c r="E84" s="6">
        <v>419837</v>
      </c>
    </row>
    <row r="85" spans="1:5" x14ac:dyDescent="0.3">
      <c r="A85" s="5">
        <v>45830</v>
      </c>
      <c r="B85" s="6">
        <v>938000</v>
      </c>
      <c r="C85" s="6">
        <v>938000</v>
      </c>
      <c r="D85" s="6">
        <v>395285915500</v>
      </c>
      <c r="E85" s="6">
        <v>419837</v>
      </c>
    </row>
    <row r="86" spans="1:5" x14ac:dyDescent="0.3">
      <c r="A86" s="5">
        <v>45831</v>
      </c>
      <c r="B86" s="6">
        <v>919000</v>
      </c>
      <c r="C86" s="6">
        <v>919000</v>
      </c>
      <c r="D86" s="6">
        <v>226034562500</v>
      </c>
      <c r="E86" s="6">
        <v>243428</v>
      </c>
    </row>
    <row r="87" spans="1:5" x14ac:dyDescent="0.3">
      <c r="A87" s="7">
        <v>45832</v>
      </c>
      <c r="B87" s="8">
        <v>895000</v>
      </c>
      <c r="C87" s="8">
        <v>895000</v>
      </c>
      <c r="D87" s="8">
        <v>251324465000</v>
      </c>
      <c r="E87" s="8">
        <v>281041</v>
      </c>
    </row>
    <row r="88" spans="1:5" x14ac:dyDescent="0.3">
      <c r="A88" s="5">
        <v>45833</v>
      </c>
      <c r="B88" s="6">
        <v>856000</v>
      </c>
      <c r="C88" s="6">
        <v>856000</v>
      </c>
      <c r="D88" s="6">
        <v>271117947000</v>
      </c>
      <c r="E88" s="6">
        <v>313167</v>
      </c>
    </row>
    <row r="89" spans="1:5" x14ac:dyDescent="0.3">
      <c r="A89" s="5">
        <v>45834</v>
      </c>
      <c r="B89" s="6">
        <v>878000</v>
      </c>
      <c r="C89" s="6">
        <v>878000</v>
      </c>
      <c r="D89" s="6">
        <v>279012190500</v>
      </c>
      <c r="E89" s="6">
        <v>322082</v>
      </c>
    </row>
    <row r="90" spans="1:5" x14ac:dyDescent="0.3">
      <c r="A90" s="5">
        <v>45835</v>
      </c>
      <c r="B90" s="6">
        <v>890000</v>
      </c>
      <c r="C90" s="6">
        <v>890000</v>
      </c>
      <c r="D90" s="6">
        <v>302187613500</v>
      </c>
      <c r="E90" s="6">
        <v>334673</v>
      </c>
    </row>
    <row r="91" spans="1:5" x14ac:dyDescent="0.3">
      <c r="A91" s="5">
        <v>45836</v>
      </c>
      <c r="B91" s="6">
        <v>890000</v>
      </c>
      <c r="C91" s="6">
        <v>890000</v>
      </c>
      <c r="D91" s="6">
        <v>302187613500</v>
      </c>
      <c r="E91" s="6">
        <v>334673</v>
      </c>
    </row>
    <row r="92" spans="1:5" x14ac:dyDescent="0.3">
      <c r="A92" s="7">
        <v>45837</v>
      </c>
      <c r="B92" s="8">
        <v>890000</v>
      </c>
      <c r="C92" s="8">
        <v>890000</v>
      </c>
      <c r="D92" s="8">
        <v>302187613500</v>
      </c>
      <c r="E92" s="8">
        <v>334673</v>
      </c>
    </row>
    <row r="93" spans="1:5" x14ac:dyDescent="0.3">
      <c r="A93" s="5">
        <v>45838</v>
      </c>
      <c r="B93" s="6">
        <v>848000</v>
      </c>
      <c r="C93" s="6">
        <v>848000</v>
      </c>
      <c r="D93" s="6">
        <v>223336613400</v>
      </c>
      <c r="E93" s="6">
        <v>260471</v>
      </c>
    </row>
    <row r="94" spans="1:5" x14ac:dyDescent="0.3">
      <c r="A94" s="5">
        <v>45839</v>
      </c>
      <c r="B94" s="6">
        <v>839000</v>
      </c>
      <c r="C94" s="6">
        <v>839000</v>
      </c>
      <c r="D94" s="6">
        <v>157403581500</v>
      </c>
      <c r="E94" s="6">
        <v>185116</v>
      </c>
    </row>
    <row r="95" spans="1:5" x14ac:dyDescent="0.3">
      <c r="A95" s="5">
        <v>45840</v>
      </c>
      <c r="B95" s="6">
        <v>819000</v>
      </c>
      <c r="C95" s="6">
        <v>819000</v>
      </c>
      <c r="D95" s="6">
        <v>263365302169</v>
      </c>
      <c r="E95" s="6">
        <v>326459</v>
      </c>
    </row>
    <row r="96" spans="1:5" x14ac:dyDescent="0.3">
      <c r="A96" s="5">
        <v>45841</v>
      </c>
      <c r="B96" s="6">
        <v>817000</v>
      </c>
      <c r="C96" s="6">
        <v>817000</v>
      </c>
      <c r="D96" s="6">
        <v>228695454000</v>
      </c>
      <c r="E96" s="6">
        <v>274396</v>
      </c>
    </row>
    <row r="97" spans="1:5" x14ac:dyDescent="0.3">
      <c r="A97" s="7">
        <v>45842</v>
      </c>
      <c r="B97" s="8">
        <v>779000</v>
      </c>
      <c r="C97" s="8">
        <v>779000</v>
      </c>
      <c r="D97" s="8">
        <v>235234702614</v>
      </c>
      <c r="E97" s="8">
        <v>297249</v>
      </c>
    </row>
    <row r="98" spans="1:5" x14ac:dyDescent="0.3">
      <c r="A98" s="5">
        <v>45843</v>
      </c>
      <c r="B98" s="6">
        <v>779000</v>
      </c>
      <c r="C98" s="6">
        <v>779000</v>
      </c>
      <c r="D98" s="6">
        <v>235234702614</v>
      </c>
      <c r="E98" s="6">
        <v>297249</v>
      </c>
    </row>
    <row r="99" spans="1:5" x14ac:dyDescent="0.3">
      <c r="A99" s="5">
        <v>45844</v>
      </c>
      <c r="B99" s="6">
        <v>779000</v>
      </c>
      <c r="C99" s="6">
        <v>779000</v>
      </c>
      <c r="D99" s="6">
        <v>235234702614</v>
      </c>
      <c r="E99" s="6">
        <v>297249</v>
      </c>
    </row>
    <row r="100" spans="1:5" x14ac:dyDescent="0.3">
      <c r="A100" s="5">
        <v>45845</v>
      </c>
      <c r="B100" s="6">
        <v>805000</v>
      </c>
      <c r="C100" s="6">
        <v>805000</v>
      </c>
      <c r="D100" s="6">
        <v>217081332500</v>
      </c>
      <c r="E100" s="6">
        <v>273998</v>
      </c>
    </row>
    <row r="101" spans="1:5" x14ac:dyDescent="0.3">
      <c r="A101" s="5">
        <v>45846</v>
      </c>
      <c r="B101" s="6">
        <v>815000</v>
      </c>
      <c r="C101" s="6">
        <v>815000</v>
      </c>
      <c r="D101" s="6">
        <v>215239289500</v>
      </c>
      <c r="E101" s="6">
        <v>265811</v>
      </c>
    </row>
    <row r="102" spans="1:5" x14ac:dyDescent="0.3">
      <c r="A102" s="7">
        <v>45847</v>
      </c>
      <c r="B102" s="8">
        <v>850000</v>
      </c>
      <c r="C102" s="8">
        <v>850000</v>
      </c>
      <c r="D102" s="8">
        <v>231997850000</v>
      </c>
      <c r="E102" s="8">
        <v>273305</v>
      </c>
    </row>
    <row r="103" spans="1:5" x14ac:dyDescent="0.3">
      <c r="A103" s="5">
        <v>45848</v>
      </c>
      <c r="B103" s="6">
        <v>853000</v>
      </c>
      <c r="C103" s="6">
        <v>853000</v>
      </c>
      <c r="D103" s="6">
        <v>253629712500</v>
      </c>
      <c r="E103" s="6">
        <v>298241</v>
      </c>
    </row>
    <row r="104" spans="1:5" x14ac:dyDescent="0.3">
      <c r="A104" s="5">
        <v>45849</v>
      </c>
      <c r="B104" s="6">
        <v>806000</v>
      </c>
      <c r="C104" s="6">
        <v>806000</v>
      </c>
      <c r="D104" s="6">
        <v>208884327000</v>
      </c>
      <c r="E104" s="6">
        <v>255773</v>
      </c>
    </row>
    <row r="105" spans="1:5" x14ac:dyDescent="0.3">
      <c r="A105" s="5">
        <v>45850</v>
      </c>
      <c r="B105" s="6">
        <v>806000</v>
      </c>
      <c r="C105" s="6">
        <v>806000</v>
      </c>
      <c r="D105" s="6">
        <v>208884327000</v>
      </c>
      <c r="E105" s="6">
        <v>255773</v>
      </c>
    </row>
    <row r="106" spans="1:5" x14ac:dyDescent="0.3">
      <c r="A106" s="5">
        <v>45851</v>
      </c>
      <c r="B106" s="6">
        <v>806000</v>
      </c>
      <c r="C106" s="6">
        <v>806000</v>
      </c>
      <c r="D106" s="6">
        <v>208884327000</v>
      </c>
      <c r="E106" s="6">
        <v>255773</v>
      </c>
    </row>
    <row r="107" spans="1:5" x14ac:dyDescent="0.3">
      <c r="A107" s="7">
        <v>45852</v>
      </c>
      <c r="B107" s="8">
        <v>807000</v>
      </c>
      <c r="C107" s="8">
        <v>807000</v>
      </c>
      <c r="D107" s="8">
        <v>146980488500</v>
      </c>
      <c r="E107" s="8">
        <v>183007</v>
      </c>
    </row>
    <row r="108" spans="1:5" x14ac:dyDescent="0.3">
      <c r="A108" s="5">
        <v>45853</v>
      </c>
      <c r="B108" s="6">
        <v>848000</v>
      </c>
      <c r="C108" s="6">
        <v>848000</v>
      </c>
      <c r="D108" s="6">
        <v>196276830500</v>
      </c>
      <c r="E108" s="6">
        <v>235902</v>
      </c>
    </row>
    <row r="109" spans="1:5" x14ac:dyDescent="0.3">
      <c r="A109" s="5">
        <v>45854</v>
      </c>
      <c r="B109" s="6">
        <v>854000</v>
      </c>
      <c r="C109" s="6">
        <v>854000</v>
      </c>
      <c r="D109" s="6">
        <v>140108741000</v>
      </c>
      <c r="E109" s="6">
        <v>165528</v>
      </c>
    </row>
    <row r="110" spans="1:5" x14ac:dyDescent="0.3">
      <c r="A110" s="5">
        <v>45855</v>
      </c>
      <c r="B110" s="6">
        <v>896000</v>
      </c>
      <c r="C110" s="6">
        <v>896000</v>
      </c>
      <c r="D110" s="6">
        <v>413501490500</v>
      </c>
      <c r="E110" s="6">
        <v>463424</v>
      </c>
    </row>
    <row r="111" spans="1:5" x14ac:dyDescent="0.3">
      <c r="A111" s="5">
        <v>45856</v>
      </c>
      <c r="B111" s="6">
        <v>896000</v>
      </c>
      <c r="C111" s="6">
        <v>896000</v>
      </c>
      <c r="D111" s="6">
        <v>158820380000</v>
      </c>
      <c r="E111" s="6">
        <v>176796</v>
      </c>
    </row>
    <row r="112" spans="1:5" x14ac:dyDescent="0.3">
      <c r="A112" s="7">
        <v>45857</v>
      </c>
      <c r="B112" s="8">
        <v>896000</v>
      </c>
      <c r="C112" s="8">
        <v>896000</v>
      </c>
      <c r="D112" s="8">
        <v>158820380000</v>
      </c>
      <c r="E112" s="8">
        <v>176796</v>
      </c>
    </row>
    <row r="113" spans="1:5" x14ac:dyDescent="0.3">
      <c r="A113" s="5">
        <v>45858</v>
      </c>
      <c r="B113" s="6">
        <v>896000</v>
      </c>
      <c r="C113" s="6">
        <v>896000</v>
      </c>
      <c r="D113" s="6">
        <v>158820380000</v>
      </c>
      <c r="E113" s="6">
        <v>176796</v>
      </c>
    </row>
    <row r="114" spans="1:5" x14ac:dyDescent="0.3">
      <c r="A114" s="5">
        <v>45859</v>
      </c>
      <c r="B114" s="6">
        <v>919000</v>
      </c>
      <c r="C114" s="6">
        <v>919000</v>
      </c>
      <c r="D114" s="6">
        <v>204812315000</v>
      </c>
      <c r="E114" s="6">
        <v>224163</v>
      </c>
    </row>
    <row r="115" spans="1:5" x14ac:dyDescent="0.3">
      <c r="A115" s="5">
        <v>45860</v>
      </c>
      <c r="B115" s="6">
        <v>922000</v>
      </c>
      <c r="C115" s="6">
        <v>922000</v>
      </c>
      <c r="D115" s="6">
        <v>189854870218</v>
      </c>
      <c r="E115" s="6">
        <v>207213</v>
      </c>
    </row>
    <row r="116" spans="1:5" x14ac:dyDescent="0.3">
      <c r="A116" s="5">
        <v>45861</v>
      </c>
      <c r="B116" s="6">
        <v>910000</v>
      </c>
      <c r="C116" s="6">
        <v>910000</v>
      </c>
      <c r="D116" s="6">
        <v>194057539000</v>
      </c>
      <c r="E116" s="6">
        <v>213391</v>
      </c>
    </row>
    <row r="117" spans="1:5" x14ac:dyDescent="0.3">
      <c r="A117" s="7">
        <v>45862</v>
      </c>
      <c r="B117" s="8">
        <v>941000</v>
      </c>
      <c r="C117" s="8">
        <v>941000</v>
      </c>
      <c r="D117" s="8">
        <v>246524695000</v>
      </c>
      <c r="E117" s="8">
        <v>263357</v>
      </c>
    </row>
    <row r="118" spans="1:5" x14ac:dyDescent="0.3">
      <c r="A118" s="5">
        <v>45863</v>
      </c>
      <c r="B118" s="6">
        <v>945000</v>
      </c>
      <c r="C118" s="6">
        <v>945000</v>
      </c>
      <c r="D118" s="6">
        <v>120040159500</v>
      </c>
      <c r="E118" s="6">
        <v>126974</v>
      </c>
    </row>
    <row r="119" spans="1:5" x14ac:dyDescent="0.3">
      <c r="A119" s="5">
        <v>45864</v>
      </c>
      <c r="B119" s="6">
        <v>945000</v>
      </c>
      <c r="C119" s="6">
        <v>945000</v>
      </c>
      <c r="D119" s="6">
        <v>120040159500</v>
      </c>
      <c r="E119" s="6">
        <v>126974</v>
      </c>
    </row>
    <row r="120" spans="1:5" x14ac:dyDescent="0.3">
      <c r="A120" s="5">
        <v>45865</v>
      </c>
      <c r="B120" s="6">
        <v>945000</v>
      </c>
      <c r="C120" s="6">
        <v>945000</v>
      </c>
      <c r="D120" s="6">
        <v>120040159500</v>
      </c>
      <c r="E120" s="6">
        <v>126974</v>
      </c>
    </row>
    <row r="121" spans="1:5" x14ac:dyDescent="0.3">
      <c r="A121" s="5">
        <v>45866</v>
      </c>
      <c r="B121" s="6">
        <v>953000</v>
      </c>
      <c r="C121" s="6">
        <v>953000</v>
      </c>
      <c r="D121" s="6">
        <v>116216939000</v>
      </c>
      <c r="E121" s="6">
        <v>122549</v>
      </c>
    </row>
    <row r="122" spans="1:5" x14ac:dyDescent="0.3">
      <c r="A122" s="7">
        <v>45867</v>
      </c>
      <c r="B122" s="8">
        <v>998000</v>
      </c>
      <c r="C122" s="8">
        <v>998000</v>
      </c>
      <c r="D122" s="8">
        <v>320470934586</v>
      </c>
      <c r="E122" s="8">
        <v>324999</v>
      </c>
    </row>
    <row r="123" spans="1:5" x14ac:dyDescent="0.3">
      <c r="A123" s="5">
        <v>45868</v>
      </c>
      <c r="B123" s="6">
        <v>977000</v>
      </c>
      <c r="C123" s="6">
        <v>977000</v>
      </c>
      <c r="D123" s="6">
        <v>285939517621</v>
      </c>
      <c r="E123" s="6">
        <v>292494</v>
      </c>
    </row>
    <row r="124" spans="1:5" x14ac:dyDescent="0.3">
      <c r="A124" s="5">
        <v>45869</v>
      </c>
      <c r="B124" s="6">
        <v>996000</v>
      </c>
      <c r="C124" s="6">
        <v>996000</v>
      </c>
      <c r="D124" s="6">
        <v>599453452099</v>
      </c>
      <c r="E124" s="6">
        <v>602496</v>
      </c>
    </row>
    <row r="125" spans="1:5" x14ac:dyDescent="0.3">
      <c r="A125" s="5">
        <v>45870</v>
      </c>
      <c r="B125" s="6">
        <v>939000</v>
      </c>
      <c r="C125" s="6">
        <v>939000</v>
      </c>
      <c r="D125" s="6">
        <v>392926850000</v>
      </c>
      <c r="E125" s="6">
        <v>419450</v>
      </c>
    </row>
    <row r="126" spans="1:5" x14ac:dyDescent="0.3">
      <c r="A126" s="5">
        <v>45871</v>
      </c>
      <c r="B126" s="6">
        <v>939000</v>
      </c>
      <c r="C126" s="6">
        <v>939000</v>
      </c>
      <c r="D126" s="6">
        <v>392926850000</v>
      </c>
      <c r="E126" s="6">
        <v>419450</v>
      </c>
    </row>
    <row r="127" spans="1:5" x14ac:dyDescent="0.3">
      <c r="A127" s="7">
        <v>45872</v>
      </c>
      <c r="B127" s="8">
        <v>939000</v>
      </c>
      <c r="C127" s="8">
        <v>939000</v>
      </c>
      <c r="D127" s="8">
        <v>392926850000</v>
      </c>
      <c r="E127" s="8">
        <v>419450</v>
      </c>
    </row>
    <row r="128" spans="1:5" x14ac:dyDescent="0.3">
      <c r="A128" s="5">
        <v>45873</v>
      </c>
      <c r="B128" s="6">
        <v>938000</v>
      </c>
      <c r="C128" s="6">
        <v>938000</v>
      </c>
      <c r="D128" s="6">
        <v>111188647000</v>
      </c>
      <c r="E128" s="6">
        <v>118975</v>
      </c>
    </row>
    <row r="129" spans="1:5" x14ac:dyDescent="0.3">
      <c r="A129" s="5">
        <v>45874</v>
      </c>
      <c r="B129" s="6">
        <v>961000</v>
      </c>
      <c r="C129" s="6">
        <v>961000</v>
      </c>
      <c r="D129" s="6">
        <v>178178503000</v>
      </c>
      <c r="E129" s="6">
        <v>187035</v>
      </c>
    </row>
    <row r="130" spans="1:5" x14ac:dyDescent="0.3">
      <c r="A130" s="5">
        <v>45875</v>
      </c>
      <c r="B130" s="6">
        <v>936000</v>
      </c>
      <c r="C130" s="6">
        <v>936000</v>
      </c>
      <c r="D130" s="6">
        <v>172601146500</v>
      </c>
      <c r="E130" s="6">
        <v>184646</v>
      </c>
    </row>
    <row r="131" spans="1:5" x14ac:dyDescent="0.3">
      <c r="A131" s="5">
        <v>45876</v>
      </c>
      <c r="B131" s="6">
        <v>932000</v>
      </c>
      <c r="C131" s="6">
        <v>932000</v>
      </c>
      <c r="D131" s="6">
        <v>145059286500</v>
      </c>
      <c r="E131" s="6">
        <v>155826</v>
      </c>
    </row>
    <row r="132" spans="1:5" x14ac:dyDescent="0.3">
      <c r="A132" s="7">
        <v>45877</v>
      </c>
      <c r="B132" s="8">
        <v>881000</v>
      </c>
      <c r="C132" s="8">
        <v>881000</v>
      </c>
      <c r="D132" s="8">
        <v>294419535950</v>
      </c>
      <c r="E132" s="8">
        <v>330808</v>
      </c>
    </row>
    <row r="133" spans="1:5" x14ac:dyDescent="0.3">
      <c r="A133" s="5">
        <v>45878</v>
      </c>
      <c r="B133" s="6">
        <v>881000</v>
      </c>
      <c r="C133" s="6">
        <v>881000</v>
      </c>
      <c r="D133" s="6">
        <v>294419535950</v>
      </c>
      <c r="E133" s="6">
        <v>330808</v>
      </c>
    </row>
    <row r="134" spans="1:5" x14ac:dyDescent="0.3">
      <c r="A134" s="5">
        <v>45879</v>
      </c>
      <c r="B134" s="6">
        <v>881000</v>
      </c>
      <c r="C134" s="6">
        <v>881000</v>
      </c>
      <c r="D134" s="6">
        <v>294419535950</v>
      </c>
      <c r="E134" s="6">
        <v>330808</v>
      </c>
    </row>
    <row r="135" spans="1:5" x14ac:dyDescent="0.3">
      <c r="A135" s="5">
        <v>45880</v>
      </c>
      <c r="B135" s="6">
        <v>880000</v>
      </c>
      <c r="C135" s="6">
        <v>880000</v>
      </c>
      <c r="D135" s="6">
        <v>139086524000</v>
      </c>
      <c r="E135" s="6">
        <v>157243</v>
      </c>
    </row>
    <row r="136" spans="1:5" x14ac:dyDescent="0.3">
      <c r="A136" s="5">
        <v>45881</v>
      </c>
      <c r="B136" s="6">
        <v>851000</v>
      </c>
      <c r="C136" s="6">
        <v>851000</v>
      </c>
      <c r="D136" s="6">
        <v>264815503500</v>
      </c>
      <c r="E136" s="6">
        <v>307287</v>
      </c>
    </row>
    <row r="137" spans="1:5" x14ac:dyDescent="0.3">
      <c r="A137" s="7">
        <v>45882</v>
      </c>
      <c r="B137" s="8">
        <v>878000</v>
      </c>
      <c r="C137" s="8">
        <v>878000</v>
      </c>
      <c r="D137" s="8">
        <v>334592974500</v>
      </c>
      <c r="E137" s="8">
        <v>394063</v>
      </c>
    </row>
    <row r="138" spans="1:5" x14ac:dyDescent="0.3">
      <c r="A138" s="5">
        <v>45883</v>
      </c>
      <c r="B138" s="6">
        <v>883000</v>
      </c>
      <c r="C138" s="6">
        <v>883000</v>
      </c>
      <c r="D138" s="6">
        <v>213610520000</v>
      </c>
      <c r="E138" s="6">
        <v>241011</v>
      </c>
    </row>
    <row r="139" spans="1:5" x14ac:dyDescent="0.3">
      <c r="A139" s="5">
        <v>45884</v>
      </c>
      <c r="B139" s="6">
        <v>883000</v>
      </c>
      <c r="C139" s="6">
        <v>883000</v>
      </c>
      <c r="D139" s="6">
        <v>213610520000</v>
      </c>
      <c r="E139" s="6">
        <v>241011</v>
      </c>
    </row>
    <row r="140" spans="1:5" x14ac:dyDescent="0.3">
      <c r="A140" s="5">
        <v>45885</v>
      </c>
      <c r="B140" s="6">
        <v>883000</v>
      </c>
      <c r="C140" s="6">
        <v>883000</v>
      </c>
      <c r="D140" s="6">
        <v>213610520000</v>
      </c>
      <c r="E140" s="6">
        <v>241011</v>
      </c>
    </row>
    <row r="141" spans="1:5" x14ac:dyDescent="0.3">
      <c r="A141" s="5">
        <v>45886</v>
      </c>
      <c r="B141" s="6">
        <v>883000</v>
      </c>
      <c r="C141" s="6">
        <v>883000</v>
      </c>
      <c r="D141" s="6">
        <v>213610520000</v>
      </c>
      <c r="E141" s="6">
        <v>241011</v>
      </c>
    </row>
    <row r="142" spans="1:5" x14ac:dyDescent="0.3">
      <c r="A142" s="7">
        <v>45887</v>
      </c>
      <c r="B142" s="8">
        <v>888000</v>
      </c>
      <c r="C142" s="8">
        <v>888000</v>
      </c>
      <c r="D142" s="8">
        <v>208966161500</v>
      </c>
      <c r="E142" s="8">
        <v>236731</v>
      </c>
    </row>
    <row r="143" spans="1:5" x14ac:dyDescent="0.3">
      <c r="A143" s="5">
        <v>45888</v>
      </c>
      <c r="B143" s="6">
        <v>827000</v>
      </c>
      <c r="C143" s="6">
        <v>827000</v>
      </c>
      <c r="D143" s="6">
        <v>218235710000</v>
      </c>
      <c r="E143" s="6">
        <v>256827</v>
      </c>
    </row>
    <row r="144" spans="1:5" x14ac:dyDescent="0.3">
      <c r="A144" s="5">
        <v>45889</v>
      </c>
      <c r="B144" s="6">
        <v>816000</v>
      </c>
      <c r="C144" s="6">
        <v>816000</v>
      </c>
      <c r="D144" s="6">
        <v>261901244307</v>
      </c>
      <c r="E144" s="6">
        <v>322736</v>
      </c>
    </row>
    <row r="145" spans="1:5" x14ac:dyDescent="0.3">
      <c r="A145" s="5">
        <v>45890</v>
      </c>
      <c r="B145" s="6">
        <v>834000</v>
      </c>
      <c r="C145" s="6">
        <v>834000</v>
      </c>
      <c r="D145" s="6">
        <v>107207066500</v>
      </c>
      <c r="E145" s="6">
        <v>128018</v>
      </c>
    </row>
    <row r="146" spans="1:5" x14ac:dyDescent="0.3">
      <c r="A146" s="5">
        <v>45891</v>
      </c>
      <c r="B146" s="6">
        <v>891000</v>
      </c>
      <c r="C146" s="6">
        <v>891000</v>
      </c>
      <c r="D146" s="6">
        <v>225122278000</v>
      </c>
      <c r="E146" s="6">
        <v>255134</v>
      </c>
    </row>
    <row r="147" spans="1:5" x14ac:dyDescent="0.3">
      <c r="A147" s="7">
        <v>45892</v>
      </c>
      <c r="B147" s="8">
        <v>891000</v>
      </c>
      <c r="C147" s="8">
        <v>891000</v>
      </c>
      <c r="D147" s="8">
        <v>225122278000</v>
      </c>
      <c r="E147" s="8">
        <v>255134</v>
      </c>
    </row>
    <row r="148" spans="1:5" x14ac:dyDescent="0.3">
      <c r="A148" s="5">
        <v>45893</v>
      </c>
      <c r="B148" s="6">
        <v>891000</v>
      </c>
      <c r="C148" s="6">
        <v>891000</v>
      </c>
      <c r="D148" s="6">
        <v>225122278000</v>
      </c>
      <c r="E148" s="6">
        <v>255134</v>
      </c>
    </row>
    <row r="149" spans="1:5" x14ac:dyDescent="0.3">
      <c r="A149" s="5">
        <v>45894</v>
      </c>
      <c r="B149" s="6">
        <v>903000</v>
      </c>
      <c r="C149" s="6">
        <v>903000</v>
      </c>
      <c r="D149" s="6">
        <v>114168221500</v>
      </c>
      <c r="E149" s="6">
        <v>127028</v>
      </c>
    </row>
    <row r="150" spans="1:5" x14ac:dyDescent="0.3">
      <c r="A150" s="5">
        <v>45895</v>
      </c>
      <c r="B150" s="6">
        <v>900000</v>
      </c>
      <c r="C150" s="6">
        <v>900000</v>
      </c>
      <c r="D150" s="6">
        <v>220986503500</v>
      </c>
      <c r="E150" s="6">
        <v>246639</v>
      </c>
    </row>
    <row r="151" spans="1:5" x14ac:dyDescent="0.3">
      <c r="A151" s="5">
        <v>45896</v>
      </c>
      <c r="B151" s="6">
        <v>907000</v>
      </c>
      <c r="C151" s="6">
        <v>907000</v>
      </c>
      <c r="D151" s="6">
        <v>101225756375</v>
      </c>
      <c r="E151" s="6">
        <v>112708</v>
      </c>
    </row>
    <row r="152" spans="1:5" x14ac:dyDescent="0.3">
      <c r="A152" s="7">
        <v>45897</v>
      </c>
      <c r="B152" s="8">
        <v>908000</v>
      </c>
      <c r="C152" s="8">
        <v>908000</v>
      </c>
      <c r="D152" s="8">
        <v>134111548000</v>
      </c>
      <c r="E152" s="8">
        <v>146074</v>
      </c>
    </row>
    <row r="153" spans="1:5" x14ac:dyDescent="0.3">
      <c r="A153" s="5">
        <v>45898</v>
      </c>
      <c r="B153" s="6">
        <v>884000</v>
      </c>
      <c r="C153" s="6">
        <v>884000</v>
      </c>
      <c r="D153" s="6">
        <v>163921983000</v>
      </c>
      <c r="E153" s="6">
        <v>183497</v>
      </c>
    </row>
    <row r="154" spans="1:5" x14ac:dyDescent="0.3">
      <c r="A154" s="5">
        <v>45899</v>
      </c>
      <c r="B154" s="6">
        <v>884000</v>
      </c>
      <c r="C154" s="6">
        <v>884000</v>
      </c>
      <c r="D154" s="6">
        <v>163921983000</v>
      </c>
      <c r="E154" s="6">
        <v>183497</v>
      </c>
    </row>
    <row r="155" spans="1:5" x14ac:dyDescent="0.3">
      <c r="A155" s="5">
        <v>45900</v>
      </c>
      <c r="B155" s="6">
        <v>884000</v>
      </c>
      <c r="C155" s="6">
        <v>884000</v>
      </c>
      <c r="D155" s="6">
        <v>163921983000</v>
      </c>
      <c r="E155" s="6">
        <v>183497</v>
      </c>
    </row>
    <row r="156" spans="1:5" x14ac:dyDescent="0.3">
      <c r="A156" s="5">
        <v>45901</v>
      </c>
      <c r="B156" s="6">
        <v>916000</v>
      </c>
      <c r="C156" s="6">
        <v>916000</v>
      </c>
      <c r="D156" s="6">
        <v>170693939000</v>
      </c>
      <c r="E156" s="6">
        <v>185557</v>
      </c>
    </row>
    <row r="157" spans="1:5" x14ac:dyDescent="0.3">
      <c r="A157" s="7">
        <v>45902</v>
      </c>
      <c r="B157" s="8">
        <v>933000</v>
      </c>
      <c r="C157" s="8">
        <v>933000</v>
      </c>
      <c r="D157" s="8">
        <v>120638445500</v>
      </c>
      <c r="E157" s="8">
        <v>129384</v>
      </c>
    </row>
    <row r="158" spans="1:5" x14ac:dyDescent="0.3">
      <c r="A158" s="5">
        <v>45903</v>
      </c>
      <c r="B158" s="6">
        <v>941000</v>
      </c>
      <c r="C158" s="6">
        <v>941000</v>
      </c>
      <c r="D158" s="6">
        <v>143276514500</v>
      </c>
      <c r="E158" s="6">
        <v>152150</v>
      </c>
    </row>
    <row r="159" spans="1:5" x14ac:dyDescent="0.3">
      <c r="A159" s="5">
        <v>45904</v>
      </c>
      <c r="B159" s="6">
        <v>931000</v>
      </c>
      <c r="C159" s="6">
        <v>931000</v>
      </c>
      <c r="D159" s="6">
        <v>137911863500</v>
      </c>
      <c r="E159" s="6">
        <v>147466</v>
      </c>
    </row>
    <row r="160" spans="1:5" x14ac:dyDescent="0.3">
      <c r="A160" s="5">
        <v>45905</v>
      </c>
      <c r="B160" s="6">
        <v>920000</v>
      </c>
      <c r="C160" s="6">
        <v>920000</v>
      </c>
      <c r="D160" s="6">
        <v>178474494500</v>
      </c>
      <c r="E160" s="6">
        <v>193204</v>
      </c>
    </row>
    <row r="161" spans="1:5" x14ac:dyDescent="0.3">
      <c r="A161" s="5">
        <v>45906</v>
      </c>
      <c r="B161" s="6">
        <v>920000</v>
      </c>
      <c r="C161" s="6">
        <v>920000</v>
      </c>
      <c r="D161" s="6">
        <v>178474494500</v>
      </c>
      <c r="E161" s="6">
        <v>193204</v>
      </c>
    </row>
    <row r="162" spans="1:5" x14ac:dyDescent="0.3">
      <c r="A162" s="7">
        <v>45907</v>
      </c>
      <c r="B162" s="8">
        <v>920000</v>
      </c>
      <c r="C162" s="8">
        <v>920000</v>
      </c>
      <c r="D162" s="8">
        <v>178474494500</v>
      </c>
      <c r="E162" s="8">
        <v>193204</v>
      </c>
    </row>
    <row r="163" spans="1:5" x14ac:dyDescent="0.3">
      <c r="A163" s="5">
        <v>45908</v>
      </c>
      <c r="B163" s="6">
        <v>951000</v>
      </c>
      <c r="C163" s="6">
        <v>951000</v>
      </c>
      <c r="D163" s="6">
        <v>166200138000</v>
      </c>
      <c r="E163" s="6">
        <v>176069</v>
      </c>
    </row>
    <row r="164" spans="1:5" x14ac:dyDescent="0.3">
      <c r="A164" s="5">
        <v>45909</v>
      </c>
      <c r="B164" s="6">
        <v>945000</v>
      </c>
      <c r="C164" s="6">
        <v>945000</v>
      </c>
      <c r="D164" s="6">
        <v>155956136650</v>
      </c>
      <c r="E164" s="6">
        <v>164915</v>
      </c>
    </row>
    <row r="165" spans="1:5" x14ac:dyDescent="0.3">
      <c r="A165" s="5">
        <v>45910</v>
      </c>
      <c r="B165" s="6">
        <v>967000</v>
      </c>
      <c r="C165" s="6">
        <v>967000</v>
      </c>
      <c r="D165" s="6">
        <v>222419744988</v>
      </c>
      <c r="E165" s="6">
        <v>229210</v>
      </c>
    </row>
    <row r="166" spans="1:5" x14ac:dyDescent="0.3">
      <c r="A166" s="5">
        <v>45911</v>
      </c>
      <c r="B166" s="6">
        <v>1005000</v>
      </c>
      <c r="C166" s="6">
        <v>1005000</v>
      </c>
      <c r="D166" s="6">
        <v>297476760000</v>
      </c>
      <c r="E166" s="6">
        <v>298028</v>
      </c>
    </row>
    <row r="167" spans="1:5" x14ac:dyDescent="0.3">
      <c r="A167" s="7">
        <v>45912</v>
      </c>
      <c r="B167" s="8">
        <v>1002000</v>
      </c>
      <c r="C167" s="8">
        <v>1002000</v>
      </c>
      <c r="D167" s="8">
        <v>169399142080</v>
      </c>
      <c r="E167" s="8">
        <v>169241</v>
      </c>
    </row>
    <row r="168" spans="1:5" x14ac:dyDescent="0.3">
      <c r="A168" s="5">
        <v>45913</v>
      </c>
      <c r="B168" s="6">
        <v>1002000</v>
      </c>
      <c r="C168" s="6">
        <v>1002000</v>
      </c>
      <c r="D168" s="6">
        <v>169399142080</v>
      </c>
      <c r="E168" s="6">
        <v>169241</v>
      </c>
    </row>
    <row r="169" spans="1:5" x14ac:dyDescent="0.3">
      <c r="A169" s="5">
        <v>45914</v>
      </c>
      <c r="B169" s="6">
        <v>1002000</v>
      </c>
      <c r="C169" s="6">
        <v>1002000</v>
      </c>
      <c r="D169" s="6">
        <v>169399142080</v>
      </c>
      <c r="E169" s="6">
        <v>169241</v>
      </c>
    </row>
    <row r="170" spans="1:5" x14ac:dyDescent="0.3">
      <c r="A170" s="5">
        <v>45915</v>
      </c>
      <c r="B170" s="6">
        <v>986000</v>
      </c>
      <c r="C170" s="6">
        <v>986000</v>
      </c>
      <c r="D170" s="6">
        <v>142040897000</v>
      </c>
      <c r="E170" s="6">
        <v>143445</v>
      </c>
    </row>
    <row r="171" spans="1:5" x14ac:dyDescent="0.3">
      <c r="A171" s="5">
        <v>45916</v>
      </c>
      <c r="B171" s="6">
        <v>1041000</v>
      </c>
      <c r="C171" s="6">
        <v>1041000</v>
      </c>
      <c r="D171" s="6">
        <v>231803605500</v>
      </c>
      <c r="E171" s="6">
        <v>226446</v>
      </c>
    </row>
    <row r="172" spans="1:5" x14ac:dyDescent="0.3">
      <c r="A172" s="7">
        <v>45917</v>
      </c>
      <c r="B172" s="8">
        <v>1030000</v>
      </c>
      <c r="C172" s="8">
        <v>1030000</v>
      </c>
      <c r="D172" s="8">
        <v>208385766000</v>
      </c>
      <c r="E172" s="8">
        <v>202933</v>
      </c>
    </row>
    <row r="173" spans="1:5" x14ac:dyDescent="0.3">
      <c r="A173" s="5">
        <v>45918</v>
      </c>
      <c r="B173" s="6">
        <v>1023000</v>
      </c>
      <c r="C173" s="6">
        <v>1023000</v>
      </c>
      <c r="D173" s="6">
        <v>213757985644</v>
      </c>
      <c r="E173" s="6">
        <v>209665</v>
      </c>
    </row>
    <row r="174" spans="1:5" x14ac:dyDescent="0.3">
      <c r="A174" s="5">
        <v>45919</v>
      </c>
      <c r="B174" s="6">
        <v>1022000</v>
      </c>
      <c r="C174" s="6">
        <v>1022000</v>
      </c>
      <c r="D174" s="6">
        <v>372660454884</v>
      </c>
      <c r="E174" s="6">
        <v>363904</v>
      </c>
    </row>
    <row r="175" spans="1:5" x14ac:dyDescent="0.3">
      <c r="A175" s="5">
        <v>45920</v>
      </c>
      <c r="B175" s="6">
        <v>1022000</v>
      </c>
      <c r="C175" s="6">
        <v>1022000</v>
      </c>
      <c r="D175" s="6">
        <v>372660454884</v>
      </c>
      <c r="E175" s="6">
        <v>363904</v>
      </c>
    </row>
    <row r="176" spans="1:5" x14ac:dyDescent="0.3">
      <c r="A176" s="5">
        <v>45921</v>
      </c>
      <c r="B176" s="6">
        <v>1022000</v>
      </c>
      <c r="C176" s="6">
        <v>1022000</v>
      </c>
      <c r="D176" s="6">
        <v>372660454884</v>
      </c>
      <c r="E176" s="6">
        <v>363904</v>
      </c>
    </row>
    <row r="177" spans="1:5" x14ac:dyDescent="0.3">
      <c r="A177" s="7">
        <v>45922</v>
      </c>
      <c r="B177" s="8">
        <v>1022000</v>
      </c>
      <c r="C177" s="8">
        <v>1022000</v>
      </c>
      <c r="D177" s="8">
        <v>139266033500</v>
      </c>
      <c r="E177" s="8">
        <v>137450</v>
      </c>
    </row>
    <row r="178" spans="1:5" x14ac:dyDescent="0.3">
      <c r="A178" s="5">
        <v>45923</v>
      </c>
      <c r="B178" s="6">
        <v>1004000</v>
      </c>
      <c r="C178" s="6">
        <v>1004000</v>
      </c>
      <c r="D178" s="6">
        <v>150166828000</v>
      </c>
      <c r="E178" s="6">
        <v>148757</v>
      </c>
    </row>
    <row r="179" spans="1:5" x14ac:dyDescent="0.3">
      <c r="A179" s="5">
        <v>45924</v>
      </c>
      <c r="B179" s="6">
        <v>1058000</v>
      </c>
      <c r="C179" s="6">
        <v>1058000</v>
      </c>
      <c r="D179" s="6">
        <v>309434253500</v>
      </c>
      <c r="E179" s="6">
        <v>295040</v>
      </c>
    </row>
    <row r="180" spans="1:5" x14ac:dyDescent="0.3">
      <c r="A180" s="5">
        <v>45925</v>
      </c>
      <c r="B180" s="6">
        <v>1048000</v>
      </c>
      <c r="C180" s="6">
        <v>1048000</v>
      </c>
      <c r="D180" s="6">
        <v>222899025000</v>
      </c>
      <c r="E180" s="6">
        <v>209497</v>
      </c>
    </row>
    <row r="181" spans="1:5" x14ac:dyDescent="0.3">
      <c r="A181" s="5">
        <v>45926</v>
      </c>
      <c r="B181" s="6">
        <v>1044000</v>
      </c>
      <c r="C181" s="6">
        <v>1044000</v>
      </c>
      <c r="D181" s="6">
        <v>200768593756</v>
      </c>
      <c r="E181" s="6">
        <v>192038</v>
      </c>
    </row>
    <row r="182" spans="1:5" x14ac:dyDescent="0.3">
      <c r="A182" s="7">
        <v>45927</v>
      </c>
      <c r="B182" s="8">
        <v>1044000</v>
      </c>
      <c r="C182" s="8">
        <v>1044000</v>
      </c>
      <c r="D182" s="8">
        <v>200768593756</v>
      </c>
      <c r="E182" s="8">
        <v>192038</v>
      </c>
    </row>
    <row r="183" spans="1:5" x14ac:dyDescent="0.3">
      <c r="A183" s="5">
        <v>45928</v>
      </c>
      <c r="B183" s="6">
        <v>1044000</v>
      </c>
      <c r="C183" s="6">
        <v>1044000</v>
      </c>
      <c r="D183" s="6">
        <v>200768593756</v>
      </c>
      <c r="E183" s="6">
        <v>192038</v>
      </c>
    </row>
    <row r="184" spans="1:5" x14ac:dyDescent="0.3">
      <c r="A184" s="5">
        <v>45929</v>
      </c>
      <c r="B184" s="6">
        <v>1059000</v>
      </c>
      <c r="C184" s="6">
        <v>1059000</v>
      </c>
      <c r="D184" s="6">
        <v>130932483750</v>
      </c>
      <c r="E184" s="6">
        <v>124076</v>
      </c>
    </row>
    <row r="185" spans="1:5" x14ac:dyDescent="0.3">
      <c r="A185" s="5">
        <v>45930</v>
      </c>
      <c r="B185" s="6">
        <v>1107000</v>
      </c>
      <c r="C185" s="6">
        <v>1107000</v>
      </c>
      <c r="D185" s="6">
        <v>320694510000</v>
      </c>
      <c r="E185" s="6">
        <v>291287</v>
      </c>
    </row>
    <row r="186" spans="1:5" x14ac:dyDescent="0.3">
      <c r="A186" s="5">
        <v>45931</v>
      </c>
      <c r="B186" s="6">
        <v>1099000</v>
      </c>
      <c r="C186" s="6">
        <v>1099000</v>
      </c>
      <c r="D186" s="6">
        <v>173734761500</v>
      </c>
      <c r="E186" s="6">
        <v>158652</v>
      </c>
    </row>
    <row r="187" spans="1:5" x14ac:dyDescent="0.3">
      <c r="A187" s="7">
        <v>45932</v>
      </c>
      <c r="B187" s="8">
        <v>1097000</v>
      </c>
      <c r="C187" s="8">
        <v>1097000</v>
      </c>
      <c r="D187" s="8">
        <v>208002812500</v>
      </c>
      <c r="E187" s="8">
        <v>189175</v>
      </c>
    </row>
    <row r="188" spans="1:5" x14ac:dyDescent="0.3">
      <c r="A188" s="5">
        <v>45933</v>
      </c>
      <c r="B188" s="6">
        <v>1097000</v>
      </c>
      <c r="C188" s="6">
        <v>1097000</v>
      </c>
      <c r="D188" s="6">
        <v>208002812500</v>
      </c>
      <c r="E188" s="6">
        <v>189175</v>
      </c>
    </row>
    <row r="189" spans="1:5" x14ac:dyDescent="0.3">
      <c r="A189" s="5">
        <v>45934</v>
      </c>
      <c r="B189" s="6">
        <v>1097000</v>
      </c>
      <c r="C189" s="6">
        <v>1097000</v>
      </c>
      <c r="D189" s="6">
        <v>208002812500</v>
      </c>
      <c r="E189" s="6">
        <v>189175</v>
      </c>
    </row>
    <row r="190" spans="1:5" x14ac:dyDescent="0.3">
      <c r="A190" s="5">
        <v>45935</v>
      </c>
      <c r="B190" s="6">
        <v>1097000</v>
      </c>
      <c r="C190" s="6">
        <v>1097000</v>
      </c>
      <c r="D190" s="6">
        <v>208002812500</v>
      </c>
      <c r="E190" s="6">
        <v>189175</v>
      </c>
    </row>
    <row r="191" spans="1:5" x14ac:dyDescent="0.3">
      <c r="A191" s="5">
        <v>45936</v>
      </c>
      <c r="B191" s="6">
        <v>1097000</v>
      </c>
      <c r="C191" s="6">
        <v>1097000</v>
      </c>
      <c r="D191" s="6">
        <v>208002812500</v>
      </c>
      <c r="E191" s="6">
        <v>189175</v>
      </c>
    </row>
    <row r="192" spans="1:5" x14ac:dyDescent="0.3">
      <c r="A192" s="7">
        <v>45937</v>
      </c>
      <c r="B192" s="8">
        <v>1097000</v>
      </c>
      <c r="C192" s="8">
        <v>1097000</v>
      </c>
      <c r="D192" s="8">
        <v>208002812500</v>
      </c>
      <c r="E192" s="8">
        <v>189175</v>
      </c>
    </row>
    <row r="193" spans="1:5" x14ac:dyDescent="0.3">
      <c r="A193" s="5">
        <v>45938</v>
      </c>
      <c r="B193" s="6">
        <v>1097000</v>
      </c>
      <c r="C193" s="6">
        <v>1097000</v>
      </c>
      <c r="D193" s="6">
        <v>208002812500</v>
      </c>
      <c r="E193" s="6">
        <v>189175</v>
      </c>
    </row>
    <row r="194" spans="1:5" x14ac:dyDescent="0.3">
      <c r="A194" s="5">
        <v>45939</v>
      </c>
      <c r="B194" s="6">
        <v>1097000</v>
      </c>
      <c r="C194" s="6">
        <v>1097000</v>
      </c>
      <c r="D194" s="6">
        <v>208002812500</v>
      </c>
      <c r="E194" s="6">
        <v>189175</v>
      </c>
    </row>
    <row r="195" spans="1:5" x14ac:dyDescent="0.3">
      <c r="A195" s="5">
        <v>45940</v>
      </c>
      <c r="B195" s="6">
        <v>1042000</v>
      </c>
      <c r="C195" s="6">
        <v>1042000</v>
      </c>
      <c r="D195" s="6">
        <v>303692957500</v>
      </c>
      <c r="E195" s="6">
        <v>290169</v>
      </c>
    </row>
    <row r="196" spans="1:5" x14ac:dyDescent="0.3">
      <c r="A196" s="5">
        <v>45941</v>
      </c>
      <c r="B196" s="6">
        <v>1042000</v>
      </c>
      <c r="C196" s="6">
        <v>1042000</v>
      </c>
      <c r="D196" s="6">
        <v>303692957500</v>
      </c>
      <c r="E196" s="6">
        <v>290169</v>
      </c>
    </row>
    <row r="197" spans="1:5" x14ac:dyDescent="0.3">
      <c r="A197" s="7">
        <v>45942</v>
      </c>
      <c r="B197" s="8">
        <v>1042000</v>
      </c>
      <c r="C197" s="8">
        <v>1042000</v>
      </c>
      <c r="D197" s="8">
        <v>303692957500</v>
      </c>
      <c r="E197" s="8">
        <v>290169</v>
      </c>
    </row>
    <row r="198" spans="1:5" x14ac:dyDescent="0.3">
      <c r="A198" s="5">
        <v>45943</v>
      </c>
      <c r="B198" s="6">
        <v>993000</v>
      </c>
      <c r="C198" s="6">
        <v>993000</v>
      </c>
      <c r="D198" s="6">
        <v>185044750500</v>
      </c>
      <c r="E198" s="6">
        <v>183941</v>
      </c>
    </row>
    <row r="199" spans="1:5" x14ac:dyDescent="0.3">
      <c r="A199" s="5">
        <v>45944</v>
      </c>
      <c r="B199" s="6">
        <v>933000</v>
      </c>
      <c r="C199" s="6">
        <v>933000</v>
      </c>
      <c r="D199" s="6">
        <v>303584270500</v>
      </c>
      <c r="E199" s="6">
        <v>318501</v>
      </c>
    </row>
    <row r="200" spans="1:5" x14ac:dyDescent="0.3">
      <c r="A200" s="5">
        <v>45945</v>
      </c>
      <c r="B200" s="6">
        <v>954000</v>
      </c>
      <c r="C200" s="6">
        <v>954000</v>
      </c>
      <c r="D200" s="6">
        <v>310728018500</v>
      </c>
      <c r="E200" s="6">
        <v>329226</v>
      </c>
    </row>
    <row r="201" spans="1:5" x14ac:dyDescent="0.3">
      <c r="A201" s="5">
        <v>45946</v>
      </c>
      <c r="B201" s="6">
        <v>936000</v>
      </c>
      <c r="C201" s="6">
        <v>936000</v>
      </c>
      <c r="D201" s="6">
        <v>173876270500</v>
      </c>
      <c r="E201" s="6">
        <v>184356</v>
      </c>
    </row>
    <row r="202" spans="1:5" x14ac:dyDescent="0.3">
      <c r="A202" s="7">
        <v>45947</v>
      </c>
      <c r="B202" s="8">
        <v>912000</v>
      </c>
      <c r="C202" s="8">
        <v>912000</v>
      </c>
      <c r="D202" s="8">
        <v>169308636000</v>
      </c>
      <c r="E202" s="8">
        <v>184363</v>
      </c>
    </row>
    <row r="203" spans="1:5" x14ac:dyDescent="0.3">
      <c r="A203" s="5">
        <v>45948</v>
      </c>
      <c r="B203" s="6">
        <v>912000</v>
      </c>
      <c r="C203" s="6">
        <v>912000</v>
      </c>
      <c r="D203" s="6">
        <v>169308636000</v>
      </c>
      <c r="E203" s="6">
        <v>184363</v>
      </c>
    </row>
    <row r="204" spans="1:5" x14ac:dyDescent="0.3">
      <c r="A204" s="5">
        <v>45949</v>
      </c>
      <c r="B204" s="6">
        <v>912000</v>
      </c>
      <c r="C204" s="6">
        <v>912000</v>
      </c>
      <c r="D204" s="6">
        <v>169308636000</v>
      </c>
      <c r="E204" s="6">
        <v>184363</v>
      </c>
    </row>
    <row r="205" spans="1:5" x14ac:dyDescent="0.3">
      <c r="A205" s="5">
        <v>45950</v>
      </c>
      <c r="B205" s="6">
        <v>953000</v>
      </c>
      <c r="C205" s="6">
        <v>953000</v>
      </c>
      <c r="D205" s="6">
        <v>185547512000</v>
      </c>
      <c r="E205" s="6">
        <v>196306</v>
      </c>
    </row>
    <row r="206" spans="1:5" x14ac:dyDescent="0.3">
      <c r="A206" s="5">
        <v>45951</v>
      </c>
      <c r="B206" s="6">
        <v>974000</v>
      </c>
      <c r="C206" s="6">
        <v>974000</v>
      </c>
      <c r="D206" s="6">
        <v>242280831068</v>
      </c>
      <c r="E206" s="6">
        <v>247903</v>
      </c>
    </row>
    <row r="207" spans="1:5" x14ac:dyDescent="0.3">
      <c r="A207" s="7">
        <v>45952</v>
      </c>
      <c r="B207" s="8">
        <v>1007000</v>
      </c>
      <c r="C207" s="8">
        <v>1007000</v>
      </c>
      <c r="D207" s="8">
        <v>258189711500</v>
      </c>
      <c r="E207" s="8">
        <v>256790</v>
      </c>
    </row>
    <row r="208" spans="1:5" x14ac:dyDescent="0.3">
      <c r="A208" s="5">
        <v>45953</v>
      </c>
      <c r="B208" s="6">
        <v>1049000</v>
      </c>
      <c r="C208" s="6">
        <v>1049000</v>
      </c>
      <c r="D208" s="6">
        <v>296415124000</v>
      </c>
      <c r="E208" s="6">
        <v>284405</v>
      </c>
    </row>
    <row r="209" spans="1:5" x14ac:dyDescent="0.3">
      <c r="A209" s="5">
        <v>45954</v>
      </c>
      <c r="B209" s="6">
        <v>1013000</v>
      </c>
      <c r="C209" s="6">
        <v>1013000</v>
      </c>
      <c r="D209" s="6">
        <v>193773671000</v>
      </c>
      <c r="E209" s="6">
        <v>189996</v>
      </c>
    </row>
    <row r="210" spans="1:5" x14ac:dyDescent="0.3">
      <c r="A210" s="5">
        <v>45955</v>
      </c>
      <c r="B210" s="6">
        <v>1013000</v>
      </c>
      <c r="C210" s="6">
        <v>1013000</v>
      </c>
      <c r="D210" s="6">
        <v>193773671000</v>
      </c>
      <c r="E210" s="6">
        <v>189996</v>
      </c>
    </row>
    <row r="211" spans="1:5" x14ac:dyDescent="0.3">
      <c r="A211" s="5">
        <v>45956</v>
      </c>
      <c r="B211" s="6">
        <v>1013000</v>
      </c>
      <c r="C211" s="6">
        <v>1013000</v>
      </c>
      <c r="D211" s="6">
        <v>193773671000</v>
      </c>
      <c r="E211" s="6">
        <v>189996</v>
      </c>
    </row>
    <row r="212" spans="1:5" x14ac:dyDescent="0.3">
      <c r="A212" s="7">
        <v>45957</v>
      </c>
      <c r="B212" s="8">
        <v>1039000</v>
      </c>
      <c r="C212" s="8">
        <v>1039000</v>
      </c>
      <c r="D212" s="8">
        <v>229209194500</v>
      </c>
      <c r="E212" s="8">
        <v>222929</v>
      </c>
    </row>
    <row r="213" spans="1:5" x14ac:dyDescent="0.3">
      <c r="A213" s="5">
        <v>45958</v>
      </c>
      <c r="B213" s="6">
        <v>996000</v>
      </c>
      <c r="C213" s="6">
        <v>996000</v>
      </c>
      <c r="D213" s="6">
        <v>184784889000</v>
      </c>
      <c r="E213" s="6">
        <v>183625</v>
      </c>
    </row>
    <row r="214" spans="1:5" x14ac:dyDescent="0.3">
      <c r="A214" s="5">
        <v>45959</v>
      </c>
      <c r="B214" s="6">
        <v>993000</v>
      </c>
      <c r="C214" s="6">
        <v>993000</v>
      </c>
      <c r="D214" s="6">
        <v>125166944500</v>
      </c>
      <c r="E214" s="6">
        <v>126098</v>
      </c>
    </row>
    <row r="215" spans="1:5" x14ac:dyDescent="0.3">
      <c r="A215" s="5">
        <v>45960</v>
      </c>
      <c r="B215" s="6">
        <v>994000</v>
      </c>
      <c r="C215" s="6">
        <v>994000</v>
      </c>
      <c r="D215" s="6">
        <v>150441667000</v>
      </c>
      <c r="E215" s="6">
        <v>150339</v>
      </c>
    </row>
    <row r="216" spans="1:5" x14ac:dyDescent="0.3">
      <c r="A216" s="5">
        <v>45961</v>
      </c>
      <c r="B216" s="6">
        <v>979000</v>
      </c>
      <c r="C216" s="6">
        <v>979000</v>
      </c>
      <c r="D216" s="6">
        <v>121936433000</v>
      </c>
      <c r="E216" s="6">
        <v>123048</v>
      </c>
    </row>
    <row r="217" spans="1:5" x14ac:dyDescent="0.3">
      <c r="A217" s="7">
        <v>45962</v>
      </c>
      <c r="B217" s="8">
        <v>979000</v>
      </c>
      <c r="C217" s="8">
        <v>979000</v>
      </c>
      <c r="D217" s="8">
        <v>121936433000</v>
      </c>
      <c r="E217" s="8">
        <v>123048</v>
      </c>
    </row>
    <row r="218" spans="1:5" x14ac:dyDescent="0.3">
      <c r="A218" s="5">
        <v>45963</v>
      </c>
      <c r="B218" s="6">
        <v>979000</v>
      </c>
      <c r="C218" s="6">
        <v>979000</v>
      </c>
      <c r="D218" s="6">
        <v>121936433000</v>
      </c>
      <c r="E218" s="6">
        <v>123048</v>
      </c>
    </row>
    <row r="219" spans="1:5" x14ac:dyDescent="0.3">
      <c r="A219" s="5">
        <v>45964</v>
      </c>
      <c r="B219" s="6">
        <v>1042000</v>
      </c>
      <c r="C219" s="6">
        <v>1042000</v>
      </c>
      <c r="D219" s="6">
        <v>340714097000</v>
      </c>
      <c r="E219" s="6">
        <v>330523</v>
      </c>
    </row>
    <row r="220" spans="1:5" x14ac:dyDescent="0.3">
      <c r="A220" s="5">
        <v>45965</v>
      </c>
      <c r="B220" s="6">
        <v>1010000</v>
      </c>
      <c r="C220" s="6">
        <v>1010000</v>
      </c>
      <c r="D220" s="6">
        <v>184055131000</v>
      </c>
      <c r="E220" s="6">
        <v>180841</v>
      </c>
    </row>
    <row r="221" spans="1:5" x14ac:dyDescent="0.3">
      <c r="A221" s="5">
        <v>45966</v>
      </c>
      <c r="B221" s="6">
        <v>950000</v>
      </c>
      <c r="C221" s="6">
        <v>950000</v>
      </c>
      <c r="D221" s="6">
        <v>287549440244</v>
      </c>
      <c r="E221" s="6">
        <v>302267</v>
      </c>
    </row>
    <row r="222" spans="1:5" x14ac:dyDescent="0.3">
      <c r="A222" s="7">
        <v>45967</v>
      </c>
      <c r="B222" s="8">
        <v>970000</v>
      </c>
      <c r="C222" s="8">
        <v>970000</v>
      </c>
      <c r="D222" s="8">
        <v>137986919500</v>
      </c>
      <c r="E222" s="8">
        <v>142073</v>
      </c>
    </row>
    <row r="223" spans="1:5" x14ac:dyDescent="0.3">
      <c r="A223" s="5">
        <v>45968</v>
      </c>
      <c r="B223" s="6">
        <v>923000</v>
      </c>
      <c r="C223" s="6">
        <v>923000</v>
      </c>
      <c r="D223" s="6">
        <v>235793761000</v>
      </c>
      <c r="E223" s="6">
        <v>255527</v>
      </c>
    </row>
    <row r="224" spans="1:5" x14ac:dyDescent="0.3">
      <c r="A224" s="5">
        <v>45969</v>
      </c>
      <c r="B224" s="6">
        <v>923000</v>
      </c>
      <c r="C224" s="6">
        <v>923000</v>
      </c>
      <c r="D224" s="6">
        <v>235793761000</v>
      </c>
      <c r="E224" s="6">
        <v>255527</v>
      </c>
    </row>
    <row r="225" spans="1:5" x14ac:dyDescent="0.3">
      <c r="A225" s="5">
        <v>45970</v>
      </c>
      <c r="B225" s="6">
        <v>923000</v>
      </c>
      <c r="C225" s="6">
        <v>923000</v>
      </c>
      <c r="D225" s="6">
        <v>235793761000</v>
      </c>
      <c r="E225" s="6">
        <v>255527</v>
      </c>
    </row>
    <row r="226" spans="1:5" x14ac:dyDescent="0.3">
      <c r="A226" s="5">
        <v>45971</v>
      </c>
      <c r="B226" s="6">
        <v>965000</v>
      </c>
      <c r="C226" s="6">
        <v>965000</v>
      </c>
      <c r="D226" s="6">
        <v>145446936000</v>
      </c>
      <c r="E226" s="6">
        <v>150467</v>
      </c>
    </row>
    <row r="227" spans="1:5" x14ac:dyDescent="0.3">
      <c r="A227" s="7">
        <v>45972</v>
      </c>
      <c r="B227" s="8">
        <v>948000</v>
      </c>
      <c r="C227" s="8">
        <v>948000</v>
      </c>
      <c r="D227" s="8">
        <v>114277039500</v>
      </c>
      <c r="E227" s="8">
        <v>118730</v>
      </c>
    </row>
    <row r="228" spans="1:5" x14ac:dyDescent="0.3">
      <c r="A228" s="5">
        <v>45973</v>
      </c>
      <c r="B228" s="6">
        <v>960000</v>
      </c>
      <c r="C228" s="6">
        <v>960000</v>
      </c>
      <c r="D228" s="6">
        <v>161332730506</v>
      </c>
      <c r="E228" s="6">
        <v>167363</v>
      </c>
    </row>
    <row r="229" spans="1:5" x14ac:dyDescent="0.3">
      <c r="A229" s="5">
        <v>45974</v>
      </c>
      <c r="B229" s="6">
        <v>956000</v>
      </c>
      <c r="C229" s="6">
        <v>956000</v>
      </c>
      <c r="D229" s="6">
        <v>113292736500</v>
      </c>
      <c r="E229" s="6">
        <v>118138</v>
      </c>
    </row>
    <row r="230" spans="1:5" x14ac:dyDescent="0.3">
      <c r="A230" s="5">
        <v>45975</v>
      </c>
      <c r="B230" s="6">
        <v>955000</v>
      </c>
      <c r="C230" s="6">
        <v>955000</v>
      </c>
      <c r="D230" s="6">
        <v>205175422000</v>
      </c>
      <c r="E230" s="6">
        <v>211727</v>
      </c>
    </row>
    <row r="231" spans="1:5" x14ac:dyDescent="0.3">
      <c r="A231" s="5">
        <v>45976</v>
      </c>
      <c r="B231" s="6">
        <v>955000</v>
      </c>
      <c r="C231" s="6">
        <v>955000</v>
      </c>
      <c r="D231" s="6">
        <v>205175422000</v>
      </c>
      <c r="E231" s="6">
        <v>211727</v>
      </c>
    </row>
    <row r="232" spans="1:5" x14ac:dyDescent="0.3">
      <c r="A232" s="7">
        <v>45977</v>
      </c>
      <c r="B232" s="8">
        <v>955000</v>
      </c>
      <c r="C232" s="8">
        <v>955000</v>
      </c>
      <c r="D232" s="8">
        <v>205175422000</v>
      </c>
      <c r="E232" s="8">
        <v>211727</v>
      </c>
    </row>
    <row r="233" spans="1:5" x14ac:dyDescent="0.3">
      <c r="A233" s="5">
        <v>45978</v>
      </c>
      <c r="B233" s="6">
        <v>979000</v>
      </c>
      <c r="C233" s="6">
        <v>979000</v>
      </c>
      <c r="D233" s="6">
        <v>146493937500</v>
      </c>
      <c r="E233" s="6">
        <v>151162</v>
      </c>
    </row>
    <row r="234" spans="1:5" x14ac:dyDescent="0.3">
      <c r="A234" s="5">
        <v>45979</v>
      </c>
      <c r="B234" s="6">
        <v>921000</v>
      </c>
      <c r="C234" s="6">
        <v>921000</v>
      </c>
      <c r="D234" s="6">
        <v>199238413000</v>
      </c>
      <c r="E234" s="6">
        <v>209914</v>
      </c>
    </row>
    <row r="235" spans="1:5" x14ac:dyDescent="0.3">
      <c r="A235" s="5">
        <v>45980</v>
      </c>
      <c r="B235" s="6">
        <v>905000</v>
      </c>
      <c r="C235" s="6">
        <v>905000</v>
      </c>
      <c r="D235" s="6">
        <v>282949173500</v>
      </c>
      <c r="E235" s="6">
        <v>309855</v>
      </c>
    </row>
    <row r="236" spans="1:5" x14ac:dyDescent="0.3">
      <c r="A236" s="5">
        <v>45981</v>
      </c>
      <c r="B236" s="6">
        <v>916000</v>
      </c>
      <c r="C236" s="6">
        <v>916000</v>
      </c>
      <c r="D236" s="6">
        <v>170034689148</v>
      </c>
      <c r="E236" s="6">
        <v>183622</v>
      </c>
    </row>
    <row r="237" spans="1:5" x14ac:dyDescent="0.3">
      <c r="A237" s="7">
        <v>45982</v>
      </c>
      <c r="B237" s="8">
        <v>869000</v>
      </c>
      <c r="C237" s="8">
        <v>869000</v>
      </c>
      <c r="D237" s="8">
        <v>223611684000</v>
      </c>
      <c r="E237" s="8">
        <v>256581</v>
      </c>
    </row>
    <row r="238" spans="1:5" x14ac:dyDescent="0.3">
      <c r="A238" s="5">
        <v>45983</v>
      </c>
      <c r="B238" s="6">
        <v>869000</v>
      </c>
      <c r="C238" s="6">
        <v>869000</v>
      </c>
      <c r="D238" s="6">
        <v>223611684000</v>
      </c>
      <c r="E238" s="6">
        <v>256581</v>
      </c>
    </row>
    <row r="239" spans="1:5" x14ac:dyDescent="0.3">
      <c r="A239" s="5">
        <v>45984</v>
      </c>
      <c r="B239" s="6">
        <v>869000</v>
      </c>
      <c r="C239" s="6">
        <v>869000</v>
      </c>
      <c r="D239" s="6">
        <v>223611684000</v>
      </c>
      <c r="E239" s="6">
        <v>256581</v>
      </c>
    </row>
    <row r="240" spans="1:5" x14ac:dyDescent="0.3">
      <c r="A240" s="5">
        <v>45985</v>
      </c>
      <c r="B240" s="6">
        <v>855000</v>
      </c>
      <c r="C240" s="6">
        <v>855000</v>
      </c>
      <c r="D240" s="6">
        <v>257533414500</v>
      </c>
      <c r="E240" s="6">
        <v>301258</v>
      </c>
    </row>
    <row r="241" spans="1:5" x14ac:dyDescent="0.3">
      <c r="A241" s="5">
        <v>45986</v>
      </c>
      <c r="B241" s="6">
        <v>859000</v>
      </c>
      <c r="C241" s="6">
        <v>859000</v>
      </c>
      <c r="D241" s="6">
        <v>104622364500</v>
      </c>
      <c r="E241" s="6">
        <v>121366</v>
      </c>
    </row>
    <row r="242" spans="1:5" x14ac:dyDescent="0.3">
      <c r="A242" s="7">
        <v>45987</v>
      </c>
      <c r="B242" s="8">
        <v>871000</v>
      </c>
      <c r="C242" s="8">
        <v>871000</v>
      </c>
      <c r="D242" s="8">
        <v>109454722500</v>
      </c>
      <c r="E242" s="8">
        <v>125169</v>
      </c>
    </row>
    <row r="243" spans="1:5" x14ac:dyDescent="0.3">
      <c r="A243" s="5">
        <v>45988</v>
      </c>
      <c r="B243" s="6">
        <v>863000</v>
      </c>
      <c r="C243" s="6">
        <v>863000</v>
      </c>
      <c r="D243" s="6">
        <v>173908230000</v>
      </c>
      <c r="E243" s="6">
        <v>198637</v>
      </c>
    </row>
    <row r="244" spans="1:5" x14ac:dyDescent="0.3">
      <c r="A244" s="5">
        <v>45989</v>
      </c>
      <c r="B244" s="6">
        <v>852000</v>
      </c>
      <c r="C244" s="6">
        <v>852000</v>
      </c>
      <c r="D244" s="6">
        <v>165223171500</v>
      </c>
      <c r="E244" s="6">
        <v>195233</v>
      </c>
    </row>
    <row r="245" spans="1:5" x14ac:dyDescent="0.3">
      <c r="A245" s="5">
        <v>45990</v>
      </c>
      <c r="B245" s="6">
        <v>852000</v>
      </c>
      <c r="C245" s="6">
        <v>852000</v>
      </c>
      <c r="D245" s="6">
        <v>165223171500</v>
      </c>
      <c r="E245" s="6">
        <v>195233</v>
      </c>
    </row>
    <row r="246" spans="1:5" x14ac:dyDescent="0.3">
      <c r="A246" s="5">
        <v>45991</v>
      </c>
      <c r="B246" s="6">
        <v>852000</v>
      </c>
      <c r="C246" s="6">
        <v>852000</v>
      </c>
      <c r="D246" s="6">
        <v>165223171500</v>
      </c>
      <c r="E246" s="6">
        <v>195233</v>
      </c>
    </row>
    <row r="247" spans="1:5" x14ac:dyDescent="0.3">
      <c r="A247" s="7">
        <v>45992</v>
      </c>
      <c r="B247" s="8">
        <v>813000</v>
      </c>
      <c r="C247" s="8">
        <v>813000</v>
      </c>
      <c r="D247" s="8">
        <v>259891219862</v>
      </c>
      <c r="E247" s="8">
        <v>318566</v>
      </c>
    </row>
    <row r="248" spans="1:5" x14ac:dyDescent="0.3">
      <c r="A248" s="5">
        <v>45993</v>
      </c>
      <c r="B248" s="6">
        <v>824000</v>
      </c>
      <c r="C248" s="6">
        <v>824000</v>
      </c>
      <c r="D248" s="6">
        <v>242896085118</v>
      </c>
      <c r="E248" s="6">
        <v>300231</v>
      </c>
    </row>
    <row r="249" spans="1:5" x14ac:dyDescent="0.3">
      <c r="A249" s="5">
        <v>45994</v>
      </c>
      <c r="B249" s="6">
        <v>866000</v>
      </c>
      <c r="C249" s="6">
        <v>866000</v>
      </c>
      <c r="D249" s="6">
        <v>271475395000</v>
      </c>
      <c r="E249" s="6">
        <v>315675</v>
      </c>
    </row>
    <row r="250" spans="1:5" x14ac:dyDescent="0.3">
      <c r="A250" s="5">
        <v>45995</v>
      </c>
      <c r="B250" s="6">
        <v>855000</v>
      </c>
      <c r="C250" s="6">
        <v>855000</v>
      </c>
      <c r="D250" s="6">
        <v>94764463500</v>
      </c>
      <c r="E250" s="6">
        <v>110369</v>
      </c>
    </row>
    <row r="251" spans="1:5" x14ac:dyDescent="0.3">
      <c r="A251" s="5">
        <v>45996</v>
      </c>
      <c r="B251" s="6">
        <v>895000</v>
      </c>
      <c r="C251" s="6">
        <v>895000</v>
      </c>
      <c r="D251" s="6">
        <v>168606246800</v>
      </c>
      <c r="E251" s="6">
        <v>192198</v>
      </c>
    </row>
    <row r="252" spans="1:5" x14ac:dyDescent="0.3">
      <c r="A252" s="7">
        <v>45997</v>
      </c>
      <c r="B252" s="8">
        <v>895000</v>
      </c>
      <c r="C252" s="8">
        <v>895000</v>
      </c>
      <c r="D252" s="8">
        <v>168606246800</v>
      </c>
      <c r="E252" s="8">
        <v>192198</v>
      </c>
    </row>
    <row r="253" spans="1:5" x14ac:dyDescent="0.3">
      <c r="A253" s="5">
        <v>45998</v>
      </c>
      <c r="B253" s="6">
        <v>895000</v>
      </c>
      <c r="C253" s="6">
        <v>895000</v>
      </c>
      <c r="D253" s="6">
        <v>168606246800</v>
      </c>
      <c r="E253" s="6">
        <v>192198</v>
      </c>
    </row>
    <row r="254" spans="1:5" x14ac:dyDescent="0.3">
      <c r="A254" s="5">
        <v>45999</v>
      </c>
      <c r="B254" s="6">
        <v>937000</v>
      </c>
      <c r="C254" s="6">
        <v>937000</v>
      </c>
      <c r="D254" s="6">
        <v>214623788500</v>
      </c>
      <c r="E254" s="6">
        <v>231159</v>
      </c>
    </row>
    <row r="255" spans="1:5" x14ac:dyDescent="0.3">
      <c r="A255" s="5">
        <v>46000</v>
      </c>
      <c r="B255" s="6">
        <v>960000</v>
      </c>
      <c r="C255" s="6">
        <v>960000</v>
      </c>
      <c r="D255" s="6">
        <v>220996382500</v>
      </c>
      <c r="E255" s="6">
        <v>231353</v>
      </c>
    </row>
    <row r="256" spans="1:5" x14ac:dyDescent="0.3">
      <c r="A256" s="5">
        <v>46001</v>
      </c>
      <c r="B256" s="6">
        <v>923000</v>
      </c>
      <c r="C256" s="6">
        <v>923000</v>
      </c>
      <c r="D256" s="6">
        <v>144979368076</v>
      </c>
      <c r="E256" s="6">
        <v>155708</v>
      </c>
    </row>
    <row r="257" spans="1:5" x14ac:dyDescent="0.3">
      <c r="A257" s="7">
        <v>46002</v>
      </c>
      <c r="B257" s="8">
        <v>904000</v>
      </c>
      <c r="C257" s="8">
        <v>904000</v>
      </c>
      <c r="D257" s="8">
        <v>220239203500</v>
      </c>
      <c r="E257" s="8">
        <v>242560</v>
      </c>
    </row>
    <row r="258" spans="1:5" x14ac:dyDescent="0.3">
      <c r="A258" s="5">
        <v>46003</v>
      </c>
      <c r="B258" s="6">
        <v>961000</v>
      </c>
      <c r="C258" s="6">
        <v>961000</v>
      </c>
      <c r="D258" s="6">
        <v>255033197500</v>
      </c>
      <c r="E258" s="6">
        <v>268675</v>
      </c>
    </row>
    <row r="259" spans="1:5" x14ac:dyDescent="0.3">
      <c r="A259" s="5">
        <v>46004</v>
      </c>
      <c r="B259" s="6">
        <v>961000</v>
      </c>
      <c r="C259" s="6">
        <v>961000</v>
      </c>
      <c r="D259" s="6">
        <v>255033197500</v>
      </c>
      <c r="E259" s="6">
        <v>268675</v>
      </c>
    </row>
    <row r="260" spans="1:5" x14ac:dyDescent="0.3">
      <c r="A260" s="5">
        <v>46005</v>
      </c>
      <c r="B260" s="6">
        <v>961000</v>
      </c>
      <c r="C260" s="6">
        <v>961000</v>
      </c>
      <c r="D260" s="6">
        <v>255033197500</v>
      </c>
      <c r="E260" s="6">
        <v>268675</v>
      </c>
    </row>
    <row r="261" spans="1:5" x14ac:dyDescent="0.3">
      <c r="A261" s="5">
        <v>46006</v>
      </c>
      <c r="B261" s="6">
        <v>908000</v>
      </c>
      <c r="C261" s="6">
        <v>908000</v>
      </c>
      <c r="D261" s="6">
        <v>132623293000</v>
      </c>
      <c r="E261" s="6">
        <v>144644</v>
      </c>
    </row>
    <row r="262" spans="1:5" x14ac:dyDescent="0.3">
      <c r="A262" s="7">
        <v>46007</v>
      </c>
      <c r="B262" s="8">
        <v>875000</v>
      </c>
      <c r="C262" s="8">
        <v>875000</v>
      </c>
      <c r="D262" s="8">
        <v>182357213500</v>
      </c>
      <c r="E262" s="8">
        <v>207445</v>
      </c>
    </row>
    <row r="263" spans="1:5" x14ac:dyDescent="0.3">
      <c r="A263" s="5">
        <v>46008</v>
      </c>
      <c r="B263" s="6">
        <v>870000</v>
      </c>
      <c r="C263" s="6">
        <v>870000</v>
      </c>
      <c r="D263" s="6">
        <v>83135499500</v>
      </c>
      <c r="E263" s="6">
        <v>94698</v>
      </c>
    </row>
    <row r="264" spans="1:5" x14ac:dyDescent="0.3">
      <c r="A264" s="5">
        <v>46009</v>
      </c>
      <c r="B264" s="6">
        <v>851000</v>
      </c>
      <c r="C264" s="6">
        <v>851000</v>
      </c>
      <c r="D264" s="6">
        <v>98487323000</v>
      </c>
      <c r="E264" s="6">
        <v>115140</v>
      </c>
    </row>
    <row r="265" spans="1:5" x14ac:dyDescent="0.3">
      <c r="A265" s="5">
        <v>46010</v>
      </c>
      <c r="B265" s="6">
        <v>884000</v>
      </c>
      <c r="C265" s="6">
        <v>884000</v>
      </c>
      <c r="D265" s="6">
        <v>184973816000</v>
      </c>
      <c r="E265" s="6">
        <v>208385</v>
      </c>
    </row>
    <row r="266" spans="1:5" x14ac:dyDescent="0.3">
      <c r="A266" s="5">
        <v>46011</v>
      </c>
      <c r="B266" s="6">
        <v>884000</v>
      </c>
      <c r="C266" s="6">
        <v>884000</v>
      </c>
      <c r="D266" s="6">
        <v>184973816000</v>
      </c>
      <c r="E266" s="6">
        <v>208385</v>
      </c>
    </row>
    <row r="267" spans="1:5" x14ac:dyDescent="0.3">
      <c r="A267" s="7">
        <v>46012</v>
      </c>
      <c r="B267" s="8">
        <v>884000</v>
      </c>
      <c r="C267" s="8">
        <v>884000</v>
      </c>
      <c r="D267" s="8">
        <v>184973816000</v>
      </c>
      <c r="E267" s="8">
        <v>208385</v>
      </c>
    </row>
    <row r="268" spans="1:5" x14ac:dyDescent="0.3">
      <c r="A268" s="5">
        <v>46013</v>
      </c>
      <c r="B268" s="6">
        <v>886000</v>
      </c>
      <c r="C268" s="6">
        <v>886000</v>
      </c>
      <c r="D268" s="6">
        <v>95907891000</v>
      </c>
      <c r="E268" s="6">
        <v>107353</v>
      </c>
    </row>
    <row r="269" spans="1:5" x14ac:dyDescent="0.3">
      <c r="A269" s="5">
        <v>46014</v>
      </c>
      <c r="B269" s="6">
        <v>900000</v>
      </c>
      <c r="C269" s="6">
        <v>900000</v>
      </c>
      <c r="D269" s="6">
        <v>79204982500</v>
      </c>
      <c r="E269" s="6">
        <v>88326</v>
      </c>
    </row>
    <row r="270" spans="1:5" x14ac:dyDescent="0.3">
      <c r="A270" s="5">
        <v>46015</v>
      </c>
      <c r="B270" s="6">
        <v>878000</v>
      </c>
      <c r="C270" s="6">
        <v>878000</v>
      </c>
      <c r="D270" s="6">
        <v>91343786000</v>
      </c>
      <c r="E270" s="6">
        <v>103248</v>
      </c>
    </row>
    <row r="271" spans="1:5" x14ac:dyDescent="0.3">
      <c r="A271" s="5">
        <v>46016</v>
      </c>
      <c r="B271" s="6">
        <v>878000</v>
      </c>
      <c r="C271" s="6">
        <v>878000</v>
      </c>
      <c r="D271" s="6">
        <v>91343786000</v>
      </c>
      <c r="E271" s="6">
        <v>103248</v>
      </c>
    </row>
    <row r="272" spans="1:5" x14ac:dyDescent="0.3">
      <c r="A272" s="7">
        <v>46017</v>
      </c>
      <c r="B272" s="8">
        <v>870000</v>
      </c>
      <c r="C272" s="8">
        <v>870000</v>
      </c>
      <c r="D272" s="8">
        <v>90109680000</v>
      </c>
      <c r="E272" s="8">
        <v>102783</v>
      </c>
    </row>
    <row r="273" spans="1:5" x14ac:dyDescent="0.3">
      <c r="A273" s="5">
        <v>46018</v>
      </c>
      <c r="B273" s="6">
        <v>870000</v>
      </c>
      <c r="C273" s="6">
        <v>870000</v>
      </c>
      <c r="D273" s="6">
        <v>90109680000</v>
      </c>
      <c r="E273" s="6">
        <v>102783</v>
      </c>
    </row>
    <row r="274" spans="1:5" x14ac:dyDescent="0.3">
      <c r="A274" s="5">
        <v>46019</v>
      </c>
      <c r="B274" s="6">
        <v>870000</v>
      </c>
      <c r="C274" s="6">
        <v>870000</v>
      </c>
      <c r="D274" s="6">
        <v>90109680000</v>
      </c>
      <c r="E274" s="6">
        <v>102783</v>
      </c>
    </row>
    <row r="275" spans="1:5" x14ac:dyDescent="0.3">
      <c r="A275" s="5">
        <v>46020</v>
      </c>
      <c r="B275" s="6">
        <v>949000</v>
      </c>
      <c r="C275" s="6">
        <v>949000</v>
      </c>
      <c r="D275" s="6">
        <v>318963888628</v>
      </c>
      <c r="E275" s="6">
        <v>339928</v>
      </c>
    </row>
    <row r="276" spans="1:5" x14ac:dyDescent="0.3">
      <c r="A276" s="5">
        <v>46021</v>
      </c>
      <c r="B276" s="6">
        <v>941000</v>
      </c>
      <c r="C276" s="6">
        <v>941000</v>
      </c>
      <c r="D276" s="6">
        <v>176948204500</v>
      </c>
      <c r="E276" s="6">
        <v>187387</v>
      </c>
    </row>
    <row r="277" spans="1:5" x14ac:dyDescent="0.3">
      <c r="A277" s="7">
        <v>46022</v>
      </c>
      <c r="B277" s="8">
        <v>941000</v>
      </c>
      <c r="C277" s="8">
        <v>941000</v>
      </c>
      <c r="D277" s="8">
        <v>176948204500</v>
      </c>
      <c r="E277" s="8">
        <v>187387</v>
      </c>
    </row>
    <row r="278" spans="1:5" x14ac:dyDescent="0.3">
      <c r="A278" s="5">
        <v>46023</v>
      </c>
      <c r="B278" s="6">
        <v>941000</v>
      </c>
      <c r="C278" s="6">
        <v>941000</v>
      </c>
      <c r="D278" s="6">
        <v>176948204500</v>
      </c>
      <c r="E278" s="6">
        <v>187387</v>
      </c>
    </row>
    <row r="279" spans="1:5" x14ac:dyDescent="0.3">
      <c r="A279" s="5">
        <v>46024</v>
      </c>
      <c r="B279" s="6">
        <v>946000</v>
      </c>
      <c r="C279" s="6">
        <v>946000</v>
      </c>
      <c r="D279" s="6">
        <v>137942431000</v>
      </c>
      <c r="E279" s="6">
        <v>144603</v>
      </c>
    </row>
    <row r="280" spans="1:5" x14ac:dyDescent="0.3">
      <c r="A280" s="5">
        <v>46025</v>
      </c>
      <c r="B280" s="6">
        <v>946000</v>
      </c>
      <c r="C280" s="6">
        <v>946000</v>
      </c>
      <c r="D280" s="6">
        <v>137942431000</v>
      </c>
      <c r="E280" s="6">
        <v>144603</v>
      </c>
    </row>
    <row r="281" spans="1:5" x14ac:dyDescent="0.3">
      <c r="A281" s="5">
        <v>46026</v>
      </c>
      <c r="B281" s="6">
        <v>946000</v>
      </c>
      <c r="C281" s="6">
        <v>946000</v>
      </c>
      <c r="D281" s="6">
        <v>137942431000</v>
      </c>
      <c r="E281" s="6">
        <v>144603</v>
      </c>
    </row>
    <row r="282" spans="1:5" x14ac:dyDescent="0.3">
      <c r="A282" s="7">
        <v>46027</v>
      </c>
      <c r="B282" s="8">
        <v>1012000</v>
      </c>
      <c r="C282" s="8">
        <v>1012000</v>
      </c>
      <c r="D282" s="8">
        <v>325547099150</v>
      </c>
      <c r="E282" s="8">
        <v>327727</v>
      </c>
    </row>
    <row r="283" spans="1:5" x14ac:dyDescent="0.3">
      <c r="A283" s="5">
        <v>46028</v>
      </c>
      <c r="B283" s="6">
        <v>1022000</v>
      </c>
      <c r="C283" s="6">
        <v>1022000</v>
      </c>
      <c r="D283" s="6">
        <v>283588917000</v>
      </c>
      <c r="E283" s="6">
        <v>279979</v>
      </c>
    </row>
    <row r="284" spans="1:5" x14ac:dyDescent="0.3">
      <c r="A284" s="5">
        <v>46029</v>
      </c>
      <c r="B284" s="6">
        <v>1010000</v>
      </c>
      <c r="C284" s="6">
        <v>1010000</v>
      </c>
      <c r="D284" s="6">
        <v>272432208000</v>
      </c>
      <c r="E284" s="6">
        <v>269662</v>
      </c>
    </row>
    <row r="285" spans="1:5" x14ac:dyDescent="0.3">
      <c r="A285" s="5">
        <v>46030</v>
      </c>
      <c r="B285" s="6">
        <v>1090000</v>
      </c>
      <c r="C285" s="6">
        <v>1090000</v>
      </c>
      <c r="D285" s="6">
        <v>553240769500</v>
      </c>
      <c r="E285" s="6">
        <v>508382</v>
      </c>
    </row>
    <row r="286" spans="1:5" x14ac:dyDescent="0.3">
      <c r="A286" s="5">
        <v>46031</v>
      </c>
      <c r="B286" s="6">
        <v>1214000</v>
      </c>
      <c r="C286" s="6">
        <v>1214000</v>
      </c>
      <c r="D286" s="6">
        <v>678226931608</v>
      </c>
      <c r="E286" s="6">
        <v>575132</v>
      </c>
    </row>
    <row r="287" spans="1:5" x14ac:dyDescent="0.3">
      <c r="A287" s="7">
        <v>46032</v>
      </c>
      <c r="B287" s="8">
        <v>1214000</v>
      </c>
      <c r="C287" s="8">
        <v>1214000</v>
      </c>
      <c r="D287" s="8">
        <v>678226931608</v>
      </c>
      <c r="E287" s="8">
        <v>575132</v>
      </c>
    </row>
    <row r="288" spans="1:5" x14ac:dyDescent="0.3">
      <c r="A288" s="5">
        <v>46033</v>
      </c>
      <c r="B288" s="6">
        <v>1214000</v>
      </c>
      <c r="C288" s="6">
        <v>1214000</v>
      </c>
      <c r="D288" s="6">
        <v>678226931608</v>
      </c>
      <c r="E288" s="6">
        <v>575132</v>
      </c>
    </row>
    <row r="289" spans="1:5" x14ac:dyDescent="0.3">
      <c r="A289" s="5">
        <v>46034</v>
      </c>
      <c r="B289" s="6">
        <v>1212000</v>
      </c>
      <c r="C289" s="6">
        <v>1212000</v>
      </c>
      <c r="D289" s="6">
        <v>342525799300</v>
      </c>
      <c r="E289" s="6">
        <v>282589</v>
      </c>
    </row>
    <row r="290" spans="1:5" x14ac:dyDescent="0.3">
      <c r="A290" s="5">
        <v>46035</v>
      </c>
      <c r="B290" s="6">
        <v>1282000</v>
      </c>
      <c r="C290" s="6">
        <v>1282000</v>
      </c>
      <c r="D290" s="6">
        <v>409626024735</v>
      </c>
      <c r="E290" s="6">
        <v>322326</v>
      </c>
    </row>
    <row r="291" spans="1:5" x14ac:dyDescent="0.3">
      <c r="A291" s="5">
        <v>46036</v>
      </c>
      <c r="B291" s="6">
        <v>1269000</v>
      </c>
      <c r="C291" s="6">
        <v>1269000</v>
      </c>
      <c r="D291" s="6">
        <v>230907198640</v>
      </c>
      <c r="E291" s="6">
        <v>182382</v>
      </c>
    </row>
    <row r="292" spans="1:5" x14ac:dyDescent="0.3">
      <c r="A292" s="7">
        <v>46037</v>
      </c>
      <c r="B292" s="8">
        <v>1294000</v>
      </c>
      <c r="C292" s="8">
        <v>1294000</v>
      </c>
      <c r="D292" s="8">
        <v>284630704363</v>
      </c>
      <c r="E292" s="8">
        <v>220568</v>
      </c>
    </row>
    <row r="293" spans="1:5" x14ac:dyDescent="0.3">
      <c r="A293" s="5">
        <v>46038</v>
      </c>
      <c r="B293" s="6">
        <v>1299000</v>
      </c>
      <c r="C293" s="6">
        <v>1299000</v>
      </c>
      <c r="D293" s="6">
        <v>378219434928</v>
      </c>
      <c r="E293" s="6">
        <v>291401</v>
      </c>
    </row>
    <row r="294" spans="1:5" x14ac:dyDescent="0.3">
      <c r="A294" s="5">
        <v>46039</v>
      </c>
      <c r="B294" s="6">
        <v>1299000</v>
      </c>
      <c r="C294" s="6">
        <v>1299000</v>
      </c>
      <c r="D294" s="6">
        <v>378219434928</v>
      </c>
      <c r="E294" s="6">
        <v>291401</v>
      </c>
    </row>
    <row r="295" spans="1:5" x14ac:dyDescent="0.3">
      <c r="A295" s="5">
        <v>46040</v>
      </c>
      <c r="B295" s="6">
        <v>1299000</v>
      </c>
      <c r="C295" s="6">
        <v>1299000</v>
      </c>
      <c r="D295" s="6">
        <v>378219434928</v>
      </c>
      <c r="E295" s="6">
        <v>291401</v>
      </c>
    </row>
    <row r="296" spans="1:5" x14ac:dyDescent="0.3">
      <c r="A296" s="5">
        <v>46041</v>
      </c>
      <c r="B296" s="6">
        <v>1330000</v>
      </c>
      <c r="C296" s="6">
        <v>1330000</v>
      </c>
      <c r="D296" s="6">
        <v>257938125500</v>
      </c>
      <c r="E296" s="6">
        <v>194888</v>
      </c>
    </row>
    <row r="297" spans="1:5" x14ac:dyDescent="0.3">
      <c r="A297" s="7">
        <v>46042</v>
      </c>
      <c r="B297" s="8">
        <v>1309000</v>
      </c>
      <c r="C297" s="8">
        <v>1309000</v>
      </c>
      <c r="D297" s="8">
        <v>296278170500</v>
      </c>
      <c r="E297" s="8">
        <v>222510</v>
      </c>
    </row>
    <row r="298" spans="1:5" x14ac:dyDescent="0.3">
      <c r="A298" s="5">
        <v>46043</v>
      </c>
      <c r="B298" s="6">
        <v>1315000</v>
      </c>
      <c r="C298" s="6">
        <v>1315000</v>
      </c>
      <c r="D298" s="6">
        <v>343746904500</v>
      </c>
      <c r="E298" s="6">
        <v>264111</v>
      </c>
    </row>
    <row r="299" spans="1:5" x14ac:dyDescent="0.3">
      <c r="A299" s="5">
        <v>46044</v>
      </c>
      <c r="B299" s="6">
        <v>1289000</v>
      </c>
      <c r="C299" s="6">
        <v>1289000</v>
      </c>
      <c r="D299" s="6">
        <v>265237033500</v>
      </c>
      <c r="E299" s="6">
        <v>205157</v>
      </c>
    </row>
    <row r="300" spans="1:5" x14ac:dyDescent="0.3">
      <c r="A300" s="5">
        <v>46045</v>
      </c>
      <c r="B300" s="6">
        <v>1255000</v>
      </c>
      <c r="C300" s="6">
        <v>1255000</v>
      </c>
      <c r="D300" s="6">
        <v>326708122497</v>
      </c>
      <c r="E300" s="6">
        <v>260134</v>
      </c>
    </row>
    <row r="301" spans="1:5" x14ac:dyDescent="0.3">
      <c r="A301" s="5">
        <v>46046</v>
      </c>
      <c r="B301" s="6">
        <v>1255000</v>
      </c>
      <c r="C301" s="6">
        <v>1255000</v>
      </c>
      <c r="D301" s="6">
        <v>326708122497</v>
      </c>
      <c r="E301" s="6">
        <v>260134</v>
      </c>
    </row>
    <row r="302" spans="1:5" x14ac:dyDescent="0.3">
      <c r="A302" s="7">
        <v>46047</v>
      </c>
      <c r="B302" s="8">
        <v>1255000</v>
      </c>
      <c r="C302" s="8">
        <v>1255000</v>
      </c>
      <c r="D302" s="8">
        <v>326708122497</v>
      </c>
      <c r="E302" s="8">
        <v>260134</v>
      </c>
    </row>
    <row r="303" spans="1:5" x14ac:dyDescent="0.3">
      <c r="A303" s="5">
        <v>46048</v>
      </c>
      <c r="B303" s="6">
        <v>1262000</v>
      </c>
      <c r="C303" s="6">
        <v>1262000</v>
      </c>
      <c r="D303" s="6">
        <v>161390384508</v>
      </c>
      <c r="E303" s="6">
        <v>126918</v>
      </c>
    </row>
    <row r="304" spans="1:5" x14ac:dyDescent="0.3">
      <c r="A304" s="5">
        <v>46049</v>
      </c>
      <c r="B304" s="6">
        <v>1230000</v>
      </c>
      <c r="C304" s="6">
        <v>1230000</v>
      </c>
      <c r="D304" s="6">
        <v>191788008000</v>
      </c>
      <c r="E304" s="6">
        <v>154527</v>
      </c>
    </row>
    <row r="305" spans="1:5" x14ac:dyDescent="0.3">
      <c r="A305" s="5">
        <v>46050</v>
      </c>
      <c r="B305" s="6">
        <v>1288000</v>
      </c>
      <c r="C305" s="6">
        <v>1288000</v>
      </c>
      <c r="D305" s="6">
        <v>231289039500</v>
      </c>
      <c r="E305" s="6">
        <v>180905</v>
      </c>
    </row>
    <row r="306" spans="1:5" x14ac:dyDescent="0.3">
      <c r="A306" s="5">
        <v>46051</v>
      </c>
      <c r="B306" s="6">
        <v>1300000</v>
      </c>
      <c r="C306" s="6">
        <v>1300000</v>
      </c>
      <c r="D306" s="6">
        <v>294414209500</v>
      </c>
      <c r="E306" s="6">
        <v>227097</v>
      </c>
    </row>
    <row r="307" spans="1:5" x14ac:dyDescent="0.3">
      <c r="A307" s="7">
        <v>46052</v>
      </c>
      <c r="B307" s="8">
        <v>1300000</v>
      </c>
      <c r="C307" s="8">
        <v>1300000</v>
      </c>
      <c r="D307" s="8">
        <v>322009085500</v>
      </c>
      <c r="E307" s="8">
        <v>247057</v>
      </c>
    </row>
    <row r="308" spans="1:5" x14ac:dyDescent="0.3">
      <c r="A308" s="5">
        <v>46053</v>
      </c>
      <c r="B308" s="6">
        <v>1300000</v>
      </c>
      <c r="C308" s="6">
        <v>1300000</v>
      </c>
      <c r="D308" s="6">
        <v>322009085500</v>
      </c>
      <c r="E308" s="6">
        <v>247057</v>
      </c>
    </row>
    <row r="309" spans="1:5" x14ac:dyDescent="0.3">
      <c r="A309" s="5">
        <v>46054</v>
      </c>
      <c r="B309" s="6">
        <v>1300000</v>
      </c>
      <c r="C309" s="6">
        <v>1300000</v>
      </c>
      <c r="D309" s="6">
        <v>322009085500</v>
      </c>
      <c r="E309" s="6">
        <v>247057</v>
      </c>
    </row>
    <row r="310" spans="1:5" x14ac:dyDescent="0.3">
      <c r="A310" s="5">
        <v>46055</v>
      </c>
      <c r="B310" s="6">
        <v>1239000</v>
      </c>
      <c r="C310" s="6">
        <v>1239000</v>
      </c>
      <c r="D310" s="6">
        <v>397618806000</v>
      </c>
      <c r="E310" s="6">
        <v>312729</v>
      </c>
    </row>
    <row r="311" spans="1:5" x14ac:dyDescent="0.3">
      <c r="A311" s="5">
        <v>46056</v>
      </c>
      <c r="B311" s="6">
        <v>1299000</v>
      </c>
      <c r="C311" s="6">
        <v>1299000</v>
      </c>
      <c r="D311" s="6">
        <v>263753031500</v>
      </c>
      <c r="E311" s="6">
        <v>203785</v>
      </c>
    </row>
    <row r="312" spans="1:5" x14ac:dyDescent="0.3">
      <c r="A312" s="7">
        <v>46057</v>
      </c>
      <c r="B312" s="8">
        <v>1324000</v>
      </c>
      <c r="C312" s="8">
        <v>1324000</v>
      </c>
      <c r="D312" s="8">
        <v>188803163000</v>
      </c>
      <c r="E312" s="8">
        <v>143922</v>
      </c>
    </row>
    <row r="313" spans="1:5" x14ac:dyDescent="0.3">
      <c r="A313" s="5">
        <v>46058</v>
      </c>
      <c r="B313" s="6">
        <v>1227000</v>
      </c>
      <c r="C313" s="6">
        <v>1227000</v>
      </c>
      <c r="D313" s="6">
        <v>414383981500</v>
      </c>
      <c r="E313" s="6">
        <v>333625</v>
      </c>
    </row>
    <row r="314" spans="1:5" x14ac:dyDescent="0.3">
      <c r="A314" s="5">
        <v>46059</v>
      </c>
      <c r="B314" s="6">
        <v>1181000</v>
      </c>
      <c r="C314" s="6">
        <v>1181000</v>
      </c>
      <c r="D314" s="6">
        <v>342100412000</v>
      </c>
      <c r="E314" s="6">
        <v>295504</v>
      </c>
    </row>
    <row r="315" spans="1:5" x14ac:dyDescent="0.3">
      <c r="A315" s="5">
        <v>46060</v>
      </c>
      <c r="B315" s="6">
        <v>1181000</v>
      </c>
      <c r="C315" s="6">
        <v>1181000</v>
      </c>
      <c r="D315" s="6">
        <v>342100412000</v>
      </c>
      <c r="E315" s="6">
        <v>295504</v>
      </c>
    </row>
    <row r="316" spans="1:5" x14ac:dyDescent="0.3">
      <c r="A316" s="5">
        <v>46061</v>
      </c>
      <c r="B316" s="6">
        <v>1181000</v>
      </c>
      <c r="C316" s="6">
        <v>1181000</v>
      </c>
      <c r="D316" s="6">
        <v>342100412000</v>
      </c>
      <c r="E316" s="6">
        <v>295504</v>
      </c>
    </row>
    <row r="317" spans="1:5" x14ac:dyDescent="0.3">
      <c r="A317" s="7">
        <v>46062</v>
      </c>
      <c r="B317" s="8">
        <v>1193000</v>
      </c>
      <c r="C317" s="8">
        <v>1193000</v>
      </c>
      <c r="D317" s="8">
        <v>338107950500</v>
      </c>
      <c r="E317" s="8">
        <v>275049</v>
      </c>
    </row>
    <row r="318" spans="1:5" x14ac:dyDescent="0.3">
      <c r="A318" s="5">
        <v>46063</v>
      </c>
      <c r="B318" s="6">
        <v>1146000</v>
      </c>
      <c r="C318" s="6">
        <v>1146000</v>
      </c>
      <c r="D318" s="6">
        <v>574068851829</v>
      </c>
      <c r="E318" s="6">
        <v>504416</v>
      </c>
    </row>
    <row r="319" spans="1:5" x14ac:dyDescent="0.3">
      <c r="A319" s="5">
        <v>46064</v>
      </c>
      <c r="B319" s="6">
        <v>1130000</v>
      </c>
      <c r="C319" s="6">
        <v>1130000</v>
      </c>
      <c r="D319" s="6">
        <v>282302893328</v>
      </c>
      <c r="E319" s="6">
        <v>248096</v>
      </c>
    </row>
    <row r="320" spans="1:5" x14ac:dyDescent="0.3">
      <c r="A320" s="5">
        <v>46065</v>
      </c>
      <c r="B320" s="6">
        <v>1131000</v>
      </c>
      <c r="C320" s="6">
        <v>1131000</v>
      </c>
      <c r="D320" s="6">
        <v>238034277000</v>
      </c>
      <c r="E320" s="6">
        <v>210941</v>
      </c>
    </row>
    <row r="321" spans="1:5" x14ac:dyDescent="0.3">
      <c r="A321" s="5">
        <v>46066</v>
      </c>
      <c r="B321" s="6">
        <v>1105000</v>
      </c>
      <c r="C321" s="6">
        <v>1105000</v>
      </c>
      <c r="D321" s="6">
        <v>263449100500</v>
      </c>
      <c r="E321" s="6">
        <v>236946</v>
      </c>
    </row>
    <row r="322" spans="1:5" x14ac:dyDescent="0.3">
      <c r="A322" s="7">
        <v>46067</v>
      </c>
      <c r="B322" s="8">
        <v>1105000</v>
      </c>
      <c r="C322" s="8">
        <v>1105000</v>
      </c>
      <c r="D322" s="8">
        <v>263449100500</v>
      </c>
      <c r="E322" s="8">
        <v>236946</v>
      </c>
    </row>
    <row r="323" spans="1:5" x14ac:dyDescent="0.3">
      <c r="A323" s="5">
        <v>46068</v>
      </c>
      <c r="B323" s="6">
        <v>1105000</v>
      </c>
      <c r="C323" s="6">
        <v>1105000</v>
      </c>
      <c r="D323" s="6">
        <v>263449100500</v>
      </c>
      <c r="E323" s="6">
        <v>236946</v>
      </c>
    </row>
    <row r="324" spans="1:5" x14ac:dyDescent="0.3">
      <c r="A324" s="5">
        <v>46069</v>
      </c>
      <c r="B324" s="6">
        <v>1105000</v>
      </c>
      <c r="C324" s="6">
        <v>1105000</v>
      </c>
      <c r="D324" s="6">
        <v>263449100500</v>
      </c>
      <c r="E324" s="6">
        <v>236946</v>
      </c>
    </row>
    <row r="325" spans="1:5" x14ac:dyDescent="0.3">
      <c r="A325" s="5">
        <v>46070</v>
      </c>
      <c r="B325" s="6">
        <v>1105000</v>
      </c>
      <c r="C325" s="6">
        <v>1105000</v>
      </c>
      <c r="D325" s="6">
        <v>263449100500</v>
      </c>
      <c r="E325" s="6">
        <v>236946</v>
      </c>
    </row>
    <row r="326" spans="1:5" x14ac:dyDescent="0.3">
      <c r="A326" s="5">
        <v>46071</v>
      </c>
      <c r="B326" s="6">
        <v>1105000</v>
      </c>
      <c r="C326" s="6">
        <v>1105000</v>
      </c>
      <c r="D326" s="6">
        <v>263449100500</v>
      </c>
      <c r="E326" s="6">
        <v>236946</v>
      </c>
    </row>
    <row r="327" spans="1:5" x14ac:dyDescent="0.3">
      <c r="A327" s="7">
        <v>46072</v>
      </c>
      <c r="B327" s="8">
        <v>1149000</v>
      </c>
      <c r="C327" s="8">
        <v>1149000</v>
      </c>
      <c r="D327" s="8">
        <v>218031158500</v>
      </c>
      <c r="E327" s="8">
        <v>190403</v>
      </c>
    </row>
    <row r="328" spans="1:5" x14ac:dyDescent="0.3">
      <c r="A328" s="5">
        <v>46073</v>
      </c>
      <c r="B328" s="6">
        <v>1242000</v>
      </c>
      <c r="C328" s="6">
        <v>1242000</v>
      </c>
      <c r="D328" s="6">
        <v>545000267500</v>
      </c>
      <c r="E328" s="6">
        <v>443593</v>
      </c>
    </row>
    <row r="329" spans="1:5" x14ac:dyDescent="0.3">
      <c r="A329" s="5">
        <v>46074</v>
      </c>
      <c r="B329" s="6">
        <v>1242000</v>
      </c>
      <c r="C329" s="6">
        <v>1242000</v>
      </c>
      <c r="D329" s="6">
        <v>545000267500</v>
      </c>
      <c r="E329" s="6">
        <v>443593</v>
      </c>
    </row>
    <row r="330" spans="1:5" x14ac:dyDescent="0.3">
      <c r="A330" s="5">
        <v>46075</v>
      </c>
      <c r="B330" s="6">
        <v>1242000</v>
      </c>
      <c r="C330" s="6">
        <v>1242000</v>
      </c>
      <c r="D330" s="6">
        <v>545000267500</v>
      </c>
      <c r="E330" s="6">
        <v>443593</v>
      </c>
    </row>
    <row r="331" spans="1:5" x14ac:dyDescent="0.3">
      <c r="A331" s="5">
        <v>46076</v>
      </c>
      <c r="B331" s="6">
        <v>1236000</v>
      </c>
      <c r="C331" s="6">
        <v>1236000</v>
      </c>
      <c r="D331" s="6">
        <v>242735584500</v>
      </c>
      <c r="E331" s="6">
        <v>196612</v>
      </c>
    </row>
    <row r="332" spans="1:5" x14ac:dyDescent="0.3">
      <c r="A332" s="7">
        <v>46077</v>
      </c>
      <c r="B332" s="8">
        <v>1241000</v>
      </c>
      <c r="C332" s="8">
        <v>1241000</v>
      </c>
      <c r="D332" s="8">
        <v>212863699252</v>
      </c>
      <c r="E332" s="8">
        <v>172787</v>
      </c>
    </row>
    <row r="333" spans="1:5" x14ac:dyDescent="0.3">
      <c r="A333" s="5">
        <v>46078</v>
      </c>
      <c r="B333" s="6">
        <v>1212000</v>
      </c>
      <c r="C333" s="6">
        <v>1212000</v>
      </c>
      <c r="D333" s="6">
        <v>204332629500</v>
      </c>
      <c r="E333" s="6">
        <v>168169</v>
      </c>
    </row>
    <row r="334" spans="1:5" x14ac:dyDescent="0.3">
      <c r="A334" s="5">
        <v>46079</v>
      </c>
      <c r="B334" s="6">
        <v>1194000</v>
      </c>
      <c r="C334" s="6">
        <v>1194000</v>
      </c>
      <c r="D334" s="6">
        <v>220088457500</v>
      </c>
      <c r="E334" s="6">
        <v>184947</v>
      </c>
    </row>
    <row r="335" spans="1:5" x14ac:dyDescent="0.3">
      <c r="A335" s="5">
        <v>46080</v>
      </c>
      <c r="B335" s="6">
        <v>1195000</v>
      </c>
      <c r="C335" s="6">
        <v>1195000</v>
      </c>
      <c r="D335" s="6">
        <v>396457815500</v>
      </c>
      <c r="E335" s="6">
        <v>325910</v>
      </c>
    </row>
    <row r="336" spans="1:5" x14ac:dyDescent="0.3">
      <c r="A336" s="5">
        <v>46081</v>
      </c>
      <c r="B336" s="6">
        <v>1195000</v>
      </c>
      <c r="C336" s="6">
        <v>1195000</v>
      </c>
      <c r="D336" s="6">
        <v>396457815500</v>
      </c>
      <c r="E336" s="6">
        <v>325910</v>
      </c>
    </row>
    <row r="337" spans="1:5" x14ac:dyDescent="0.3">
      <c r="A337" s="7">
        <v>46082</v>
      </c>
      <c r="B337" s="8">
        <v>1195000</v>
      </c>
      <c r="C337" s="8">
        <v>1195000</v>
      </c>
      <c r="D337" s="8">
        <v>396457815500</v>
      </c>
      <c r="E337" s="8">
        <v>325910</v>
      </c>
    </row>
    <row r="338" spans="1:5" x14ac:dyDescent="0.3">
      <c r="A338" s="5">
        <v>46083</v>
      </c>
      <c r="B338" s="6">
        <v>1195000</v>
      </c>
      <c r="C338" s="6">
        <v>1195000</v>
      </c>
      <c r="D338" s="6">
        <v>396457815500</v>
      </c>
      <c r="E338" s="6">
        <v>325910</v>
      </c>
    </row>
    <row r="339" spans="1:5" x14ac:dyDescent="0.3">
      <c r="A339" s="5">
        <v>46084</v>
      </c>
      <c r="B339" s="6">
        <v>1432000</v>
      </c>
      <c r="C339" s="6">
        <v>1432000</v>
      </c>
      <c r="D339" s="6">
        <v>1808581203000</v>
      </c>
      <c r="E339" s="6">
        <v>1295365</v>
      </c>
    </row>
    <row r="340" spans="1:5" x14ac:dyDescent="0.3">
      <c r="A340" s="5">
        <v>46085</v>
      </c>
      <c r="B340" s="6">
        <v>1323000</v>
      </c>
      <c r="C340" s="6">
        <v>1323000</v>
      </c>
      <c r="D340" s="6">
        <v>1617292326500</v>
      </c>
      <c r="E340" s="6">
        <v>1191514</v>
      </c>
    </row>
    <row r="341" spans="1:5" x14ac:dyDescent="0.3">
      <c r="A341" s="5">
        <v>46086</v>
      </c>
      <c r="B341" s="6">
        <v>1381000</v>
      </c>
      <c r="C341" s="6">
        <v>1381000</v>
      </c>
      <c r="D341" s="6">
        <v>1100321576500</v>
      </c>
      <c r="E341" s="6">
        <v>785586</v>
      </c>
    </row>
    <row r="342" spans="1:5" x14ac:dyDescent="0.3">
      <c r="A342" s="7">
        <v>46087</v>
      </c>
      <c r="B342" s="8">
        <v>1481000</v>
      </c>
      <c r="C342" s="8">
        <v>1481000</v>
      </c>
      <c r="D342" s="8">
        <v>1224363234500</v>
      </c>
      <c r="E342" s="8">
        <v>836707</v>
      </c>
    </row>
    <row r="343" spans="1:5" x14ac:dyDescent="0.3">
      <c r="A343" s="5">
        <v>46088</v>
      </c>
      <c r="B343" s="6">
        <v>1481000</v>
      </c>
      <c r="C343" s="6">
        <v>1481000</v>
      </c>
      <c r="D343" s="6">
        <v>1224363234500</v>
      </c>
      <c r="E343" s="6">
        <v>836707</v>
      </c>
    </row>
    <row r="344" spans="1:5" x14ac:dyDescent="0.3">
      <c r="A344" s="5">
        <v>46089</v>
      </c>
      <c r="B344" s="6">
        <v>1481000</v>
      </c>
      <c r="C344" s="6">
        <v>1481000</v>
      </c>
      <c r="D344" s="6">
        <v>1224363234500</v>
      </c>
      <c r="E344" s="6">
        <v>836707</v>
      </c>
    </row>
    <row r="345" spans="1:5" x14ac:dyDescent="0.3">
      <c r="A345" s="5">
        <v>46090</v>
      </c>
      <c r="B345" s="6">
        <v>1434000</v>
      </c>
      <c r="C345" s="6">
        <v>1434000</v>
      </c>
      <c r="D345" s="6">
        <v>809437107500</v>
      </c>
      <c r="E345" s="6">
        <v>564231</v>
      </c>
    </row>
    <row r="346" spans="1:5" x14ac:dyDescent="0.3">
      <c r="A346" s="5">
        <v>46091</v>
      </c>
      <c r="B346" s="6">
        <v>1455000</v>
      </c>
      <c r="C346" s="6">
        <v>1455000</v>
      </c>
      <c r="D346" s="6">
        <v>648900797500</v>
      </c>
      <c r="E346" s="6">
        <v>452836</v>
      </c>
    </row>
    <row r="347" spans="1:5" x14ac:dyDescent="0.3">
      <c r="A347" s="7">
        <v>46092</v>
      </c>
      <c r="B347" s="8">
        <v>1410000</v>
      </c>
      <c r="C347" s="8">
        <v>1410000</v>
      </c>
      <c r="D347" s="8">
        <v>414745842500</v>
      </c>
      <c r="E347" s="8">
        <v>285240</v>
      </c>
    </row>
    <row r="348" spans="1:5" x14ac:dyDescent="0.3">
      <c r="A348" s="5">
        <v>46093</v>
      </c>
      <c r="B348" s="6">
        <v>1465000</v>
      </c>
      <c r="C348" s="6">
        <v>1465000</v>
      </c>
      <c r="D348" s="6">
        <v>381058942500</v>
      </c>
      <c r="E348" s="6">
        <v>261688</v>
      </c>
    </row>
    <row r="349" spans="1:5" x14ac:dyDescent="0.3">
      <c r="A349" s="5">
        <v>46094</v>
      </c>
      <c r="B349" s="6">
        <v>1488000</v>
      </c>
      <c r="C349" s="6">
        <v>1488000</v>
      </c>
      <c r="D349" s="6">
        <v>476824902860</v>
      </c>
      <c r="E349" s="6">
        <v>324291</v>
      </c>
    </row>
    <row r="350" spans="1:5" x14ac:dyDescent="0.3">
      <c r="A350" s="5">
        <v>46095</v>
      </c>
      <c r="B350" s="6">
        <v>1488000</v>
      </c>
      <c r="C350" s="6">
        <v>1488000</v>
      </c>
      <c r="D350" s="6">
        <v>476824902860</v>
      </c>
      <c r="E350" s="6">
        <v>324291</v>
      </c>
    </row>
    <row r="351" spans="1:5" x14ac:dyDescent="0.3">
      <c r="A351" s="5">
        <v>46096</v>
      </c>
      <c r="B351" s="6">
        <v>1488000</v>
      </c>
      <c r="C351" s="6">
        <v>1488000</v>
      </c>
      <c r="D351" s="6">
        <v>476824902860</v>
      </c>
      <c r="E351" s="6">
        <v>324291</v>
      </c>
    </row>
    <row r="352" spans="1:5" x14ac:dyDescent="0.3">
      <c r="A352" s="7">
        <v>46097</v>
      </c>
      <c r="B352" s="8">
        <v>1476000</v>
      </c>
      <c r="C352" s="8">
        <v>1476000</v>
      </c>
      <c r="D352" s="8">
        <v>268353549500</v>
      </c>
      <c r="E352" s="8">
        <v>180940</v>
      </c>
    </row>
    <row r="353" spans="1:5" x14ac:dyDescent="0.3">
      <c r="A353" s="5">
        <v>46098</v>
      </c>
      <c r="B353" s="6">
        <v>1396000</v>
      </c>
      <c r="C353" s="6">
        <v>1396000</v>
      </c>
      <c r="D353" s="6">
        <v>296066474000</v>
      </c>
      <c r="E353" s="6">
        <v>210274</v>
      </c>
    </row>
    <row r="354" spans="1:5" x14ac:dyDescent="0.3">
      <c r="A354" s="5">
        <v>46099</v>
      </c>
      <c r="B354" s="6">
        <v>1390000</v>
      </c>
      <c r="C354" s="6">
        <v>1390000</v>
      </c>
      <c r="D354" s="6">
        <v>223728459804</v>
      </c>
      <c r="E354" s="6">
        <v>161859</v>
      </c>
    </row>
    <row r="355" spans="1:5" x14ac:dyDescent="0.3">
      <c r="A355" s="5">
        <v>46100</v>
      </c>
      <c r="B355" s="6">
        <v>1375000</v>
      </c>
      <c r="C355" s="6">
        <v>1375000</v>
      </c>
      <c r="D355" s="6">
        <v>152805855500</v>
      </c>
      <c r="E355" s="6">
        <v>111115</v>
      </c>
    </row>
    <row r="356" spans="1:5" x14ac:dyDescent="0.3">
      <c r="A356" s="5">
        <v>46101</v>
      </c>
      <c r="B356" s="6">
        <v>1320000</v>
      </c>
      <c r="C356" s="6">
        <v>1320000</v>
      </c>
      <c r="D356" s="6">
        <v>357160356500</v>
      </c>
      <c r="E356" s="6">
        <v>270214</v>
      </c>
    </row>
    <row r="357" spans="1:5" x14ac:dyDescent="0.3">
      <c r="A357" s="7">
        <v>46102</v>
      </c>
      <c r="B357" s="8">
        <v>1320000</v>
      </c>
      <c r="C357" s="8">
        <v>1320000</v>
      </c>
      <c r="D357" s="8">
        <v>357160356500</v>
      </c>
      <c r="E357" s="8">
        <v>270214</v>
      </c>
    </row>
    <row r="358" spans="1:5" x14ac:dyDescent="0.3">
      <c r="A358" s="5">
        <v>46103</v>
      </c>
      <c r="B358" s="6">
        <v>1320000</v>
      </c>
      <c r="C358" s="6">
        <v>1320000</v>
      </c>
      <c r="D358" s="6">
        <v>357160356500</v>
      </c>
      <c r="E358" s="6">
        <v>270214</v>
      </c>
    </row>
    <row r="359" spans="1:5" x14ac:dyDescent="0.3">
      <c r="A359" s="5">
        <v>46104</v>
      </c>
      <c r="B359" s="6">
        <v>1278000</v>
      </c>
      <c r="C359" s="6">
        <v>1278000</v>
      </c>
      <c r="D359" s="6">
        <v>294651687000</v>
      </c>
      <c r="E359" s="6">
        <v>232870</v>
      </c>
    </row>
    <row r="360" spans="1:5" x14ac:dyDescent="0.3">
      <c r="A360" s="5">
        <v>46105</v>
      </c>
      <c r="B360" s="6">
        <v>1335000</v>
      </c>
      <c r="C360" s="6">
        <v>1335000</v>
      </c>
      <c r="D360" s="6">
        <v>204023090000</v>
      </c>
      <c r="E360" s="6">
        <v>154321</v>
      </c>
    </row>
    <row r="361" spans="1:5" x14ac:dyDescent="0.3">
      <c r="A361" s="5">
        <v>46106</v>
      </c>
      <c r="B361" s="6">
        <v>1400000</v>
      </c>
      <c r="C361" s="6">
        <v>1400000</v>
      </c>
      <c r="D361" s="6">
        <v>293552798500</v>
      </c>
      <c r="E361" s="6">
        <v>212913</v>
      </c>
    </row>
    <row r="362" spans="1:5" x14ac:dyDescent="0.3">
      <c r="A362" s="7">
        <v>46107</v>
      </c>
      <c r="B362" s="8">
        <v>1369000</v>
      </c>
      <c r="C362" s="8">
        <v>1369000</v>
      </c>
      <c r="D362" s="8">
        <v>219721866500</v>
      </c>
      <c r="E362" s="8">
        <v>158124</v>
      </c>
    </row>
    <row r="363" spans="1:5" x14ac:dyDescent="0.3">
      <c r="A363" s="5">
        <v>46108</v>
      </c>
      <c r="B363" s="6">
        <v>1335000</v>
      </c>
      <c r="C363" s="6">
        <v>1335000</v>
      </c>
      <c r="D363" s="6">
        <v>270677694500</v>
      </c>
      <c r="E363" s="6">
        <v>205178</v>
      </c>
    </row>
    <row r="364" spans="1:5" x14ac:dyDescent="0.3">
      <c r="A364" s="5">
        <v>46109</v>
      </c>
      <c r="B364" s="6">
        <v>1335000</v>
      </c>
      <c r="C364" s="6">
        <v>1335000</v>
      </c>
      <c r="D364" s="6">
        <v>270677694500</v>
      </c>
      <c r="E364" s="6">
        <v>205178</v>
      </c>
    </row>
    <row r="365" spans="1:5" x14ac:dyDescent="0.3">
      <c r="A365" s="5">
        <v>46110</v>
      </c>
      <c r="B365" s="6">
        <v>1335000</v>
      </c>
      <c r="C365" s="6">
        <v>1335000</v>
      </c>
      <c r="D365" s="6">
        <v>270677694500</v>
      </c>
      <c r="E365" s="6">
        <v>205178</v>
      </c>
    </row>
    <row r="366" spans="1:5" x14ac:dyDescent="0.3">
      <c r="A366" s="5">
        <v>46111</v>
      </c>
      <c r="B366" s="6">
        <v>1308000</v>
      </c>
      <c r="C366" s="6">
        <v>1308000</v>
      </c>
      <c r="D366" s="6">
        <v>208118189000</v>
      </c>
      <c r="E366" s="6">
        <v>160318</v>
      </c>
    </row>
    <row r="367" spans="1:5" x14ac:dyDescent="0.3">
      <c r="A367" s="7">
        <v>46112</v>
      </c>
      <c r="B367" s="8">
        <v>1249000</v>
      </c>
      <c r="C367" s="8">
        <v>1249000</v>
      </c>
      <c r="D367" s="8">
        <v>346018472500</v>
      </c>
      <c r="E367" s="8">
        <v>277570</v>
      </c>
    </row>
    <row r="368" spans="1:5" x14ac:dyDescent="0.3">
      <c r="A368" s="5">
        <v>46113</v>
      </c>
      <c r="B368" s="6">
        <v>1333000</v>
      </c>
      <c r="C368" s="6">
        <v>1333000</v>
      </c>
      <c r="D368" s="6">
        <v>322483266000</v>
      </c>
      <c r="E368" s="6">
        <v>243803</v>
      </c>
    </row>
    <row r="369" spans="1:5" x14ac:dyDescent="0.3">
      <c r="A369" s="5">
        <v>46114</v>
      </c>
      <c r="B369" s="6">
        <v>1417000</v>
      </c>
      <c r="C369" s="6">
        <v>1417000</v>
      </c>
      <c r="D369" s="6">
        <v>622701431000</v>
      </c>
      <c r="E369" s="6">
        <v>437390</v>
      </c>
    </row>
    <row r="370" spans="1:5" x14ac:dyDescent="0.3">
      <c r="A370" s="5">
        <v>46115</v>
      </c>
      <c r="B370" s="6">
        <v>1449000</v>
      </c>
      <c r="C370" s="6">
        <v>1449000</v>
      </c>
      <c r="D370" s="6">
        <v>280459555500</v>
      </c>
      <c r="E370" s="6">
        <v>193653</v>
      </c>
    </row>
    <row r="371" spans="1:5" x14ac:dyDescent="0.3">
      <c r="A371" s="5">
        <v>46116</v>
      </c>
      <c r="B371" s="6">
        <v>1449000</v>
      </c>
      <c r="C371" s="6">
        <v>1449000</v>
      </c>
      <c r="D371" s="6">
        <v>280459555500</v>
      </c>
      <c r="E371" s="6">
        <v>193653</v>
      </c>
    </row>
    <row r="372" spans="1:5" x14ac:dyDescent="0.3">
      <c r="A372" s="7">
        <v>46117</v>
      </c>
      <c r="B372" s="8">
        <v>1449000</v>
      </c>
      <c r="C372" s="8">
        <v>1449000</v>
      </c>
      <c r="D372" s="8">
        <v>280459555500</v>
      </c>
      <c r="E372" s="8">
        <v>193653</v>
      </c>
    </row>
    <row r="373" spans="1:5" x14ac:dyDescent="0.3">
      <c r="A373" s="5">
        <v>46118</v>
      </c>
      <c r="B373" s="6">
        <v>1450000</v>
      </c>
      <c r="C373" s="6">
        <v>1450000</v>
      </c>
      <c r="D373" s="6">
        <v>185692446000</v>
      </c>
      <c r="E373" s="6">
        <v>128832</v>
      </c>
    </row>
  </sheetData>
  <phoneticPr fontId="9" type="noConversion"/>
  <dataValidations count="5">
    <dataValidation type="list" allowBlank="1" showInputMessage="1" sqref="B5" xr:uid="{C9A69D1E-17C0-4A8E-A7DA-BDAB0C44F73A}">
      <formula1>"일간,주간,월간,분기간,년간"</formula1>
    </dataValidation>
    <dataValidation type="list" allowBlank="1" showInputMessage="1" sqref="B6" xr:uid="{D339086C-FD77-4EF4-BCA7-214B605FCBC8}">
      <formula1>"Exclusive,N/A,NULL,Previous"</formula1>
    </dataValidation>
    <dataValidation type="list" allowBlank="1" showInputMessage="1" sqref="C5" xr:uid="{3C044691-2C5E-4353-98AB-6580607DAFDF}">
      <formula1>"Local,KRW,USD"</formula1>
    </dataValidation>
    <dataValidation type="list" allowBlank="1" showInputMessage="1" sqref="C6" xr:uid="{10AB6576-1BDD-4F94-984A-C0065AE5B386}">
      <formula1>"Asc,Desc"</formula1>
    </dataValidation>
    <dataValidation type="list" allowBlank="1" showInputMessage="1" sqref="C3" xr:uid="{EA379931-43B9-4AB8-AAB6-E089210F29E4}">
      <formula1>"Default,원,천원,만원,백만원,억원,십억원"</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FEC1A-5F20-4F6C-BC04-33C7B768931B}">
  <sheetPr codeName="Sheet2"/>
  <dimension ref="A2:O37"/>
  <sheetViews>
    <sheetView workbookViewId="0">
      <selection activeCell="J9" sqref="J9"/>
    </sheetView>
  </sheetViews>
  <sheetFormatPr defaultRowHeight="16.5" x14ac:dyDescent="0.3"/>
  <cols>
    <col min="1" max="1" width="10.875" customWidth="1"/>
    <col min="2" max="2" width="10" bestFit="1" customWidth="1"/>
    <col min="3" max="3" width="20.625" bestFit="1" customWidth="1"/>
    <col min="4" max="4" width="21" bestFit="1" customWidth="1"/>
    <col min="6" max="6" width="22" bestFit="1" customWidth="1"/>
    <col min="7" max="7" width="14.25" bestFit="1" customWidth="1"/>
    <col min="9" max="9" width="23.75" bestFit="1" customWidth="1"/>
    <col min="10" max="10" width="14" customWidth="1"/>
    <col min="11" max="12" width="14.75" customWidth="1"/>
    <col min="13" max="13" width="18.875" bestFit="1" customWidth="1"/>
    <col min="14" max="14" width="22.875" bestFit="1" customWidth="1"/>
  </cols>
  <sheetData>
    <row r="2" spans="1:14" x14ac:dyDescent="0.3">
      <c r="B2" s="35" t="s">
        <v>107</v>
      </c>
      <c r="C2" s="41" t="s">
        <v>108</v>
      </c>
      <c r="F2" t="s">
        <v>112</v>
      </c>
      <c r="G2" s="43">
        <v>45795</v>
      </c>
      <c r="K2" s="16"/>
      <c r="N2" t="s">
        <v>132</v>
      </c>
    </row>
    <row r="3" spans="1:14" x14ac:dyDescent="0.3">
      <c r="B3" s="35" t="s">
        <v>109</v>
      </c>
      <c r="C3" s="36" t="s">
        <v>36</v>
      </c>
    </row>
    <row r="4" spans="1:14" x14ac:dyDescent="0.3">
      <c r="N4" t="s">
        <v>138</v>
      </c>
    </row>
    <row r="5" spans="1:14" x14ac:dyDescent="0.3">
      <c r="B5" s="35" t="s">
        <v>79</v>
      </c>
      <c r="F5" s="35" t="s">
        <v>96</v>
      </c>
      <c r="I5" s="35" t="s">
        <v>99</v>
      </c>
      <c r="J5" s="35" t="s">
        <v>103</v>
      </c>
    </row>
    <row r="6" spans="1:14" x14ac:dyDescent="0.3">
      <c r="B6" s="36" t="s">
        <v>84</v>
      </c>
      <c r="C6" s="36" t="s">
        <v>85</v>
      </c>
      <c r="D6" s="36" t="s">
        <v>80</v>
      </c>
      <c r="F6" s="36" t="s">
        <v>94</v>
      </c>
      <c r="G6" s="37">
        <v>47296201</v>
      </c>
      <c r="I6" s="36" t="s">
        <v>100</v>
      </c>
      <c r="J6" s="36">
        <v>0.03</v>
      </c>
    </row>
    <row r="7" spans="1:14" x14ac:dyDescent="0.3">
      <c r="B7" s="38">
        <v>45736</v>
      </c>
      <c r="C7" s="38">
        <v>45736</v>
      </c>
      <c r="D7" s="36" t="s">
        <v>93</v>
      </c>
      <c r="F7" s="36" t="s">
        <v>95</v>
      </c>
      <c r="G7" s="37">
        <v>4267200</v>
      </c>
      <c r="I7" s="36" t="s">
        <v>101</v>
      </c>
      <c r="J7" s="40" cm="1">
        <f t="array" ref="J7">calc_vol()</f>
        <v>0.75140780669565088</v>
      </c>
    </row>
    <row r="8" spans="1:14" x14ac:dyDescent="0.3">
      <c r="A8" t="s">
        <v>91</v>
      </c>
      <c r="B8" s="38">
        <v>45797</v>
      </c>
      <c r="C8" s="38">
        <v>45797</v>
      </c>
      <c r="D8" s="36" t="s">
        <v>90</v>
      </c>
      <c r="F8" s="36" t="s">
        <v>81</v>
      </c>
      <c r="G8" s="36">
        <f>G7/G6</f>
        <v>9.0222891263507618E-2</v>
      </c>
      <c r="I8" s="36" t="s">
        <v>102</v>
      </c>
      <c r="J8" s="40">
        <f>(B14-G2)/365</f>
        <v>0.17534246575342466</v>
      </c>
    </row>
    <row r="9" spans="1:14" x14ac:dyDescent="0.3">
      <c r="B9" s="38">
        <v>45800</v>
      </c>
      <c r="C9" s="38">
        <v>45800</v>
      </c>
      <c r="D9" s="36" t="s">
        <v>89</v>
      </c>
      <c r="I9" s="36" t="s">
        <v>111</v>
      </c>
      <c r="J9" s="37" t="str" cm="1">
        <f t="array" aca="1" ref="J9" ca="1">calc_issue_price()</f>
        <v>KeyError: Timestamp('2025-05-18 00:00:0
    raise KeyError(orig_key) from err
  File "C:\Users\MSK\anaconda3\envs\etf\Lib\site-packages\pandas\core\indexes\datetimes.py", line 632, in get_loc
          ^^^^^^^^^^^^^^^^^^
    loc = index.get_loc(key)
  File "C:\Users\MSK\anaconda3\envs\etf\Lib\site-packages\pandas\core\generic.py", line 4301, in xs
           ^^^^^^^^^^^^^^^^^^^^^^^^^^^^^
    return self.obj.xs(label, axis=axis)
  File "C:\Users\MSK\anaconda3\envs\etf\Lib\site-packages\pandas\core\indexing.py", line 1381, in _get_label
           ^^^^^^^^^^^^^^^^^^^^^^^^^^^^^^^
    return self._get_label(key, axis=axis)
  File "C:\Users\MSK\anaconda3\envs\etf\Lib\site-packages\pandas\core\indexing.py", line 1431, in _getitem_axis
           ^^^^^^^^^^^^^^^^^^^^^^^^^^^^^^^^^^^^^^^^^^^^^
    return self._getitem_axis(maybe_callable, axis=axis)
  File "C:\Users\MSK\anaconda3\envs\etf\Lib\site-packages\pandas\core\indexing.py", line 1191, in __getitem__
                         ~~~~~~~~~~^^^^^^^^
    close = ceil_to_tick(prices.loc[ref_dt]['거래대금'].sum() /
  File "c:\users\msk\git\etf_research\etf_research\src\right_issue.py", line 68, in _calc_base_price
           ^^^^^^^^^^^^^^^^^^^^^^^^^^^^^^^^^^^^^^^^^^^^^^^^^^^^^^^^^^^^^^^^^^^^^^^^^^^^^^^^^^^^^^^^^^^^^^^^^^^^
    return _calc_base_price(prices, today, first_fix_discount, capital_increase_ratio, face_value, market_code)
  File "c:\users\msk\git\etf_research\etf_research\src\right_issue.py", line 97, in calc_issue_price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row>
    <row r="10" spans="1:14" x14ac:dyDescent="0.3">
      <c r="B10" s="38">
        <v>45824</v>
      </c>
      <c r="C10" s="38">
        <v>45828</v>
      </c>
      <c r="D10" s="36" t="s">
        <v>87</v>
      </c>
      <c r="F10" s="36" t="s">
        <v>104</v>
      </c>
      <c r="G10" s="36">
        <v>0.15</v>
      </c>
      <c r="I10" s="35"/>
    </row>
    <row r="11" spans="1:14" x14ac:dyDescent="0.3">
      <c r="B11" s="38">
        <v>45834</v>
      </c>
      <c r="C11" s="38">
        <v>45834</v>
      </c>
      <c r="D11" s="36" t="s">
        <v>92</v>
      </c>
      <c r="F11" s="36" t="s">
        <v>105</v>
      </c>
      <c r="G11" s="36">
        <v>0.15</v>
      </c>
      <c r="I11" s="35" t="s">
        <v>119</v>
      </c>
      <c r="J11" t="s">
        <v>120</v>
      </c>
      <c r="K11" t="s">
        <v>121</v>
      </c>
      <c r="M11" t="s">
        <v>117</v>
      </c>
      <c r="N11" t="s">
        <v>98</v>
      </c>
    </row>
    <row r="12" spans="1:14" x14ac:dyDescent="0.3">
      <c r="B12" s="38">
        <v>45834</v>
      </c>
      <c r="C12" s="38">
        <v>45834</v>
      </c>
      <c r="D12" s="36" t="s">
        <v>82</v>
      </c>
      <c r="F12" s="36" t="s">
        <v>106</v>
      </c>
      <c r="G12" s="39">
        <v>0.4</v>
      </c>
      <c r="I12" s="36" t="s">
        <v>83</v>
      </c>
      <c r="J12" s="37" t="str" cm="1">
        <f t="array" aca="1" ref="J12" ca="1">bs_warrant(J15,J9,J6,J7,J8)</f>
        <v>TypeError: unsupported operand type(s) for /: 'float' and 'str'
                 ~~^~~
    d1 = (np.log(S / K) + (r + sigma**2 / 2) * T) / (sigma * np.sqrt(T))
  File "c:\users\msk\git\etf_research\etf_research\src\right_issue.py", line 152, in bs_warrant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K12" s="36"/>
      <c r="N12" s="33" t="e">
        <f ca="1">(J14/J13)-1</f>
        <v>#VALUE!</v>
      </c>
    </row>
    <row r="13" spans="1:14" x14ac:dyDescent="0.3">
      <c r="B13" s="38">
        <v>45839</v>
      </c>
      <c r="C13" s="38">
        <v>45840</v>
      </c>
      <c r="D13" s="36" t="s">
        <v>88</v>
      </c>
      <c r="I13" s="36" t="s">
        <v>113</v>
      </c>
      <c r="J13" s="37" t="str" cm="1">
        <f t="array" aca="1" ref="J13" ca="1">bs_warrant_diluted(J15,J9,J6,J7,J8,G8)</f>
        <v>TypeError: unsupported operand type(s) for /: 'float' and 'str'
                 ~~^~~
    d1 = (np.log(S / K) + (r + sigma**2 / 2) * T) / (sigma * np.sqrt(T))
  File "c:\users\msk\git\etf_research\etf_research\src\right_issue.py", line 152, in bs_warrant
        ^^^^^^^^^^^^^^^^^^^^^^^^^^^^^
    C = bs_warrant(S, K, r, sigma, T)
  File "c:\users\msk\git\etf_research\etf_research\src\right_issue.py", line 185, in bs_warrant_diluted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K13" s="36"/>
    </row>
    <row r="14" spans="1:14" x14ac:dyDescent="0.3">
      <c r="B14" s="38">
        <v>45859</v>
      </c>
      <c r="C14" s="38">
        <v>45859</v>
      </c>
      <c r="D14" s="36" t="s">
        <v>86</v>
      </c>
      <c r="F14" s="35" t="s">
        <v>97</v>
      </c>
      <c r="I14" s="36" t="s">
        <v>118</v>
      </c>
      <c r="J14" s="37">
        <v>150000</v>
      </c>
      <c r="K14" s="36"/>
    </row>
    <row r="15" spans="1:14" x14ac:dyDescent="0.3">
      <c r="F15" t="s">
        <v>64</v>
      </c>
      <c r="G15" s="15"/>
      <c r="I15" s="36" t="s">
        <v>114</v>
      </c>
      <c r="J15" s="37">
        <v>710000</v>
      </c>
      <c r="K15" s="36"/>
    </row>
    <row r="16" spans="1:14" x14ac:dyDescent="0.3">
      <c r="I16" s="36" t="s">
        <v>115</v>
      </c>
      <c r="J16" s="36"/>
      <c r="K16" s="36"/>
    </row>
    <row r="17" spans="9:15" x14ac:dyDescent="0.3">
      <c r="I17" s="36" t="s">
        <v>116</v>
      </c>
      <c r="J17" s="36"/>
      <c r="K17" s="36"/>
    </row>
    <row r="18" spans="9:15" x14ac:dyDescent="0.3">
      <c r="I18" s="35"/>
      <c r="K18" s="42"/>
      <c r="L18" s="42"/>
    </row>
    <row r="20" spans="9:15" x14ac:dyDescent="0.3">
      <c r="J20" s="42" t="s">
        <v>128</v>
      </c>
      <c r="M20" t="s">
        <v>131</v>
      </c>
    </row>
    <row r="21" spans="9:15" x14ac:dyDescent="0.3">
      <c r="I21" s="16">
        <v>45799</v>
      </c>
      <c r="J21" s="42">
        <v>837000</v>
      </c>
      <c r="K21" t="s">
        <v>129</v>
      </c>
      <c r="M21">
        <v>850000</v>
      </c>
      <c r="N21" s="45">
        <f>J21/M21</f>
        <v>0.98470588235294121</v>
      </c>
    </row>
    <row r="22" spans="9:15" x14ac:dyDescent="0.3">
      <c r="I22" s="16">
        <v>45799</v>
      </c>
      <c r="J22" s="42">
        <v>832000</v>
      </c>
      <c r="K22" t="s">
        <v>125</v>
      </c>
      <c r="M22">
        <v>846000</v>
      </c>
      <c r="N22" s="45">
        <f>J22/M22</f>
        <v>0.98345153664302598</v>
      </c>
    </row>
    <row r="23" spans="9:15" x14ac:dyDescent="0.3">
      <c r="K23">
        <v>10.16427328</v>
      </c>
    </row>
    <row r="24" spans="9:15" x14ac:dyDescent="0.3">
      <c r="I24" s="35"/>
      <c r="K24" s="42"/>
      <c r="L24" s="42"/>
    </row>
    <row r="26" spans="9:15" x14ac:dyDescent="0.3">
      <c r="J26" s="42"/>
    </row>
    <row r="30" spans="9:15" x14ac:dyDescent="0.3">
      <c r="K30" t="s">
        <v>130</v>
      </c>
      <c r="L30" t="s">
        <v>46</v>
      </c>
    </row>
    <row r="31" spans="9:15" x14ac:dyDescent="0.3">
      <c r="K31" s="42">
        <v>850000</v>
      </c>
      <c r="L31" s="42">
        <v>684000</v>
      </c>
      <c r="M31" s="42">
        <f>(K31+L31*G8)/(1+G8)</f>
        <v>836262.44223107002</v>
      </c>
      <c r="O31" t="s">
        <v>133</v>
      </c>
    </row>
    <row r="32" spans="9:15" x14ac:dyDescent="0.3">
      <c r="O32">
        <v>853440</v>
      </c>
    </row>
    <row r="33" spans="11:14" x14ac:dyDescent="0.3">
      <c r="K33" s="44">
        <f>(K31*G6+L31*(G7-853440))/((G7-853440)+G6)</f>
        <v>838824.99318033399</v>
      </c>
    </row>
    <row r="34" spans="11:14" x14ac:dyDescent="0.3">
      <c r="M34" t="s">
        <v>134</v>
      </c>
    </row>
    <row r="35" spans="11:14" x14ac:dyDescent="0.3">
      <c r="K35" s="42">
        <v>837000</v>
      </c>
      <c r="M35" s="45">
        <f>K35/K31</f>
        <v>0.98470588235294121</v>
      </c>
      <c r="N35" t="s">
        <v>135</v>
      </c>
    </row>
    <row r="37" spans="11:14" x14ac:dyDescent="0.3">
      <c r="M37" s="45">
        <f>M35*K23</f>
        <v>10.008819688658823</v>
      </c>
    </row>
  </sheetData>
  <phoneticPr fontId="9"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693E7-631B-4EC2-9D00-D17500D1F282}">
  <sheetPr codeName="Sheet12"/>
  <dimension ref="B1:O51"/>
  <sheetViews>
    <sheetView topLeftCell="A4" zoomScale="85" zoomScaleNormal="85" workbookViewId="0">
      <selection activeCell="G35" sqref="G35"/>
    </sheetView>
  </sheetViews>
  <sheetFormatPr defaultRowHeight="16.5" x14ac:dyDescent="0.3"/>
  <cols>
    <col min="1" max="1" width="10.875" customWidth="1"/>
    <col min="2" max="2" width="16.25" customWidth="1"/>
    <col min="3" max="3" width="20.75" bestFit="1" customWidth="1"/>
    <col min="4" max="4" width="21" bestFit="1" customWidth="1"/>
    <col min="5" max="5" width="13.25" bestFit="1" customWidth="1"/>
    <col min="6" max="6" width="22" bestFit="1" customWidth="1"/>
    <col min="7" max="7" width="14.25" bestFit="1" customWidth="1"/>
    <col min="9" max="9" width="23.75" bestFit="1" customWidth="1"/>
    <col min="10" max="10" width="79.375" customWidth="1"/>
    <col min="11" max="11" width="14.75" customWidth="1"/>
    <col min="12" max="12" width="18.875" style="16" bestFit="1" customWidth="1"/>
    <col min="13" max="13" width="40.625" customWidth="1"/>
    <col min="14" max="14" width="52.25" bestFit="1" customWidth="1"/>
  </cols>
  <sheetData>
    <row r="1" spans="2:14" x14ac:dyDescent="0.3">
      <c r="B1" s="57" t="s">
        <v>183</v>
      </c>
      <c r="C1" s="36" t="s">
        <v>184</v>
      </c>
    </row>
    <row r="2" spans="2:14" x14ac:dyDescent="0.3">
      <c r="B2" s="35" t="s">
        <v>107</v>
      </c>
      <c r="C2" s="41" t="s">
        <v>190</v>
      </c>
      <c r="F2" s="35" t="s">
        <v>112</v>
      </c>
      <c r="G2" s="55">
        <v>46140</v>
      </c>
    </row>
    <row r="3" spans="2:14" x14ac:dyDescent="0.3">
      <c r="B3" s="35" t="s">
        <v>109</v>
      </c>
      <c r="C3" s="36" t="s">
        <v>191</v>
      </c>
    </row>
    <row r="4" spans="2:14" x14ac:dyDescent="0.3">
      <c r="F4" s="35" t="s">
        <v>96</v>
      </c>
    </row>
    <row r="5" spans="2:14" x14ac:dyDescent="0.3">
      <c r="B5" s="35" t="s">
        <v>79</v>
      </c>
      <c r="F5" s="62" t="s">
        <v>186</v>
      </c>
      <c r="G5" s="53">
        <v>5000</v>
      </c>
      <c r="I5" s="58" t="s">
        <v>99</v>
      </c>
      <c r="J5" s="58" t="s">
        <v>103</v>
      </c>
      <c r="L5" s="48" t="s">
        <v>140</v>
      </c>
    </row>
    <row r="6" spans="2:14" x14ac:dyDescent="0.3">
      <c r="B6" s="51" t="s">
        <v>84</v>
      </c>
      <c r="C6" s="51" t="s">
        <v>85</v>
      </c>
      <c r="D6" s="51" t="s">
        <v>80</v>
      </c>
      <c r="F6" s="36" t="s">
        <v>94</v>
      </c>
      <c r="G6" s="53">
        <v>37868298</v>
      </c>
      <c r="I6" s="36" t="s">
        <v>100</v>
      </c>
      <c r="J6" s="54">
        <v>2.7E-2</v>
      </c>
      <c r="L6" s="50" t="s">
        <v>141</v>
      </c>
      <c r="M6" s="51" t="s">
        <v>142</v>
      </c>
      <c r="N6" s="51" t="s">
        <v>143</v>
      </c>
    </row>
    <row r="7" spans="2:14" x14ac:dyDescent="0.3">
      <c r="B7" s="38">
        <v>46107</v>
      </c>
      <c r="C7" s="38">
        <v>46107</v>
      </c>
      <c r="D7" s="36" t="s">
        <v>93</v>
      </c>
      <c r="F7" s="36" t="s">
        <v>166</v>
      </c>
      <c r="G7" s="53">
        <v>206242</v>
      </c>
      <c r="I7" s="36" t="s">
        <v>101</v>
      </c>
      <c r="J7" s="40" cm="1">
        <f t="array" ref="J7">calc_vol()</f>
        <v>0.68350860069653407</v>
      </c>
      <c r="L7" s="50"/>
      <c r="M7" s="36"/>
      <c r="N7" s="36"/>
    </row>
    <row r="8" spans="2:14" x14ac:dyDescent="0.3">
      <c r="B8" s="55">
        <v>46107</v>
      </c>
      <c r="C8" s="38">
        <v>46121</v>
      </c>
      <c r="D8" s="36" t="s">
        <v>163</v>
      </c>
      <c r="F8" s="36" t="s">
        <v>95</v>
      </c>
      <c r="G8" s="53">
        <v>11730000</v>
      </c>
      <c r="I8" s="36" t="s">
        <v>102</v>
      </c>
      <c r="J8" s="66">
        <f>(B16-G2)/365</f>
        <v>0.10136986301369863</v>
      </c>
      <c r="L8" s="49"/>
      <c r="M8" s="36"/>
      <c r="N8" s="36"/>
    </row>
    <row r="9" spans="2:14" x14ac:dyDescent="0.3">
      <c r="B9" s="55">
        <v>46114</v>
      </c>
      <c r="C9" s="38">
        <f>B9</f>
        <v>46114</v>
      </c>
      <c r="D9" s="36" t="s">
        <v>90</v>
      </c>
      <c r="F9" s="36" t="s">
        <v>81</v>
      </c>
      <c r="G9" s="36">
        <f>G8/(G6-G7)</f>
        <v>0.31145405338465854</v>
      </c>
      <c r="I9" s="36" t="s">
        <v>111</v>
      </c>
      <c r="J9" s="37" t="str" cm="1">
        <f t="array" aca="1" ref="J9" ca="1">calc_issue_price()</f>
        <v>TypeError: unsupported operand type(s) for -: 'int' and 'NoneType'
                                   ~~^~~~~~~~~~
    result = ceil_to_tick((base * (1 - discount)) / (1 + (capital_increase_ratio * discount)))
  File "c:\users\msk\git\etf_research\etf_research\src\right_issue.py", line 72, in _calc_base_price
                        ^^^^^^^^^^^^^^^^^^^^^^^^^^^^^^^^^^^^^^^^^^^^^^^^^^^^^^^^^^^^^^^^^^^^^^^^^^^^^^^^^^^^^^^^^^^^^^^^^^^^^^^^^^^
    first_issue_price = _calc_base_price(prices, first_fix_dt, first_fix_discount, capital_increase_ratio, face_value, market_code)
  File "c:\users\msk\git\etf_research\etf_research\src\right_issue.py", line 100, in calc_issue_price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9" s="49"/>
      <c r="M9" s="36"/>
      <c r="N9" s="36"/>
    </row>
    <row r="10" spans="2:14" x14ac:dyDescent="0.3">
      <c r="B10" s="38">
        <v>46118</v>
      </c>
      <c r="C10" s="38">
        <f>B10</f>
        <v>46118</v>
      </c>
      <c r="D10" s="36" t="s">
        <v>192</v>
      </c>
      <c r="I10" s="35"/>
      <c r="L10" s="49"/>
      <c r="M10" s="36"/>
      <c r="N10" s="36"/>
    </row>
    <row r="11" spans="2:14" x14ac:dyDescent="0.3">
      <c r="B11" s="55">
        <v>46119</v>
      </c>
      <c r="C11" s="38">
        <f>B11</f>
        <v>46119</v>
      </c>
      <c r="D11" s="36" t="s">
        <v>89</v>
      </c>
      <c r="F11" s="36" t="s">
        <v>104</v>
      </c>
      <c r="G11" s="39">
        <v>0.2</v>
      </c>
      <c r="I11" s="58" t="s">
        <v>119</v>
      </c>
      <c r="J11" s="59" t="s">
        <v>179</v>
      </c>
      <c r="L11" s="49"/>
      <c r="M11" s="36"/>
      <c r="N11" s="36"/>
    </row>
    <row r="12" spans="2:14" x14ac:dyDescent="0.3">
      <c r="B12" s="55">
        <v>46139</v>
      </c>
      <c r="C12" s="38">
        <v>46146</v>
      </c>
      <c r="D12" s="36" t="s">
        <v>87</v>
      </c>
      <c r="F12" s="36" t="s">
        <v>105</v>
      </c>
      <c r="G12" s="39">
        <v>0.2</v>
      </c>
      <c r="I12" s="36" t="s">
        <v>83</v>
      </c>
      <c r="J12" s="37" t="str" cm="1">
        <f t="array" aca="1" ref="J12" ca="1">bs_discrete_dividend(J15,J9,J6,J7,J8)</f>
        <v>TypeError: ufunc 'divide' not supported for the input types, and the inputs could not be safely coerced to any supported types according to the casting rule ''safe''
                 ~~^~~
    d1 = (np.log(S / K) + (r + sigma**2 / 2) * T) / (sigma * np.sqrt(T))
  File "c:\users\msk\git\etf_research\etf_research\src\right_issue.py", line 152, in bs_warrant
           ^^^^^^^^^^^^^^^^^^^^^^^^^^^^^
    return bs_warrant(S, K, r, sigma, T)
  File "c:\users\msk\git\etf_research\etf_research\src\right_issue.py", line 174, in bs_discrete_dividend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12" s="49"/>
      <c r="M12" s="47"/>
      <c r="N12" s="36"/>
    </row>
    <row r="13" spans="2:14" x14ac:dyDescent="0.3">
      <c r="B13" s="55">
        <v>46153</v>
      </c>
      <c r="C13" s="38">
        <f>B13</f>
        <v>46153</v>
      </c>
      <c r="D13" s="36" t="s">
        <v>92</v>
      </c>
      <c r="F13" s="36" t="s">
        <v>106</v>
      </c>
      <c r="G13" s="39">
        <v>0.4</v>
      </c>
      <c r="I13" s="36" t="s">
        <v>113</v>
      </c>
      <c r="J13" s="37" t="str" cm="1">
        <f t="array" aca="1" ref="J13" ca="1">bs_warrant_diluted(J15,J9,J6,J7,J8,G9)</f>
        <v>TypeError: ufunc 'divide' not supported for the input types, and the inputs could not be safely coerced to any supported types according to the casting rule ''safe''
                 ~~^~~
    d1 = (np.log(S / K) + (r + sigma**2 / 2) * T) / (sigma * np.sqrt(T))
  File "c:\users\msk\git\etf_research\etf_research\src\right_issue.py", line 152, in bs_warrant
        ^^^^^^^^^^^^^^^^^^^^^^^^^^^^^
    C = bs_warrant(S, K, r, sigma, T)
  File "c:\users\msk\git\etf_research\etf_research\src\right_issue.py", line 185, in bs_warrant_diluted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13" s="49"/>
      <c r="M13" s="36"/>
      <c r="N13" s="36"/>
    </row>
    <row r="14" spans="2:14" x14ac:dyDescent="0.3">
      <c r="B14" s="55">
        <v>46153</v>
      </c>
      <c r="C14" s="38">
        <f>B14</f>
        <v>46153</v>
      </c>
      <c r="D14" s="36" t="s">
        <v>82</v>
      </c>
      <c r="I14" s="36" t="s">
        <v>118</v>
      </c>
      <c r="J14" s="37">
        <v>49900</v>
      </c>
      <c r="L14" s="49"/>
      <c r="M14" s="36"/>
      <c r="N14" s="36"/>
    </row>
    <row r="15" spans="2:14" x14ac:dyDescent="0.3">
      <c r="B15" s="55">
        <v>46156</v>
      </c>
      <c r="C15" s="55">
        <v>46157</v>
      </c>
      <c r="D15" s="36" t="s">
        <v>88</v>
      </c>
      <c r="F15" s="35" t="s">
        <v>97</v>
      </c>
      <c r="I15" s="36" t="s">
        <v>114</v>
      </c>
      <c r="J15" s="37">
        <v>122000</v>
      </c>
      <c r="L15" s="49"/>
      <c r="M15" s="36"/>
      <c r="N15" s="36"/>
    </row>
    <row r="16" spans="2:14" x14ac:dyDescent="0.3">
      <c r="B16" s="38">
        <v>46177</v>
      </c>
      <c r="C16" s="55">
        <v>46181</v>
      </c>
      <c r="D16" s="38" t="s">
        <v>164</v>
      </c>
      <c r="F16" s="36" t="s">
        <v>64</v>
      </c>
      <c r="G16" s="39">
        <v>10.66461634</v>
      </c>
      <c r="I16" s="36" t="s">
        <v>171</v>
      </c>
      <c r="J16" s="37">
        <v>121200</v>
      </c>
      <c r="L16" s="49"/>
      <c r="M16" s="36"/>
      <c r="N16" s="36"/>
    </row>
    <row r="17" spans="2:15" x14ac:dyDescent="0.3">
      <c r="I17" s="36" t="s">
        <v>172</v>
      </c>
      <c r="J17" s="37" t="e">
        <f ca="1">IF(B23&gt;=B20,J15-D20-J13,J16)</f>
        <v>#VALUE!</v>
      </c>
      <c r="L17" s="49"/>
      <c r="M17" s="36"/>
      <c r="N17" s="36"/>
    </row>
    <row r="18" spans="2:15" x14ac:dyDescent="0.3">
      <c r="B18" s="57" t="s">
        <v>178</v>
      </c>
      <c r="F18" s="57" t="s">
        <v>160</v>
      </c>
      <c r="I18" s="35"/>
      <c r="K18" s="42"/>
      <c r="L18" s="49"/>
      <c r="M18" s="36"/>
      <c r="N18" s="36"/>
    </row>
    <row r="19" spans="2:15" x14ac:dyDescent="0.3">
      <c r="B19" s="51" t="s">
        <v>168</v>
      </c>
      <c r="C19" s="51" t="s">
        <v>169</v>
      </c>
      <c r="D19" s="51" t="s">
        <v>170</v>
      </c>
      <c r="F19" s="36" t="s">
        <v>161</v>
      </c>
      <c r="G19" s="47">
        <v>2E-3</v>
      </c>
      <c r="I19" s="58" t="s">
        <v>139</v>
      </c>
      <c r="J19" s="59" t="s">
        <v>179</v>
      </c>
      <c r="L19" s="49"/>
      <c r="M19" s="36"/>
      <c r="N19" s="36"/>
    </row>
    <row r="20" spans="2:15" x14ac:dyDescent="0.3">
      <c r="B20" s="55">
        <v>46140</v>
      </c>
      <c r="C20" s="55">
        <v>46140</v>
      </c>
      <c r="D20" s="39">
        <v>0</v>
      </c>
      <c r="F20" s="36" t="s">
        <v>162</v>
      </c>
      <c r="G20" s="47">
        <v>5.0000000000000001E-3</v>
      </c>
      <c r="I20" s="36" t="s">
        <v>176</v>
      </c>
      <c r="J20" s="37">
        <f>J16-J15</f>
        <v>-800</v>
      </c>
      <c r="L20" s="49"/>
      <c r="M20" s="36"/>
      <c r="N20" s="36"/>
    </row>
    <row r="21" spans="2:15" x14ac:dyDescent="0.3">
      <c r="I21" s="36" t="s">
        <v>174</v>
      </c>
      <c r="J21" s="46">
        <f>J20/J15</f>
        <v>-6.5573770491803279E-3</v>
      </c>
      <c r="L21" s="49"/>
      <c r="M21" s="36"/>
      <c r="N21" s="36"/>
    </row>
    <row r="22" spans="2:15" x14ac:dyDescent="0.3">
      <c r="B22" s="57" t="s">
        <v>173</v>
      </c>
      <c r="I22" s="36" t="s">
        <v>177</v>
      </c>
      <c r="J22" s="60" t="e">
        <f ca="1">J17-J15</f>
        <v>#VALUE!</v>
      </c>
      <c r="L22" s="49"/>
      <c r="M22" s="36"/>
      <c r="N22" s="36"/>
    </row>
    <row r="23" spans="2:15" x14ac:dyDescent="0.3">
      <c r="B23" s="61">
        <v>46156</v>
      </c>
      <c r="I23" s="36" t="s">
        <v>175</v>
      </c>
      <c r="J23" s="46" t="e">
        <f ca="1">J22/J15</f>
        <v>#VALUE!</v>
      </c>
      <c r="L23" s="49"/>
      <c r="M23" s="36"/>
      <c r="N23" s="36"/>
    </row>
    <row r="24" spans="2:15" x14ac:dyDescent="0.3">
      <c r="L24" s="37"/>
      <c r="M24" s="49"/>
      <c r="N24" s="36"/>
      <c r="O24" s="36"/>
    </row>
    <row r="25" spans="2:15" x14ac:dyDescent="0.3">
      <c r="B25" s="56" t="s">
        <v>167</v>
      </c>
      <c r="I25" s="36" t="s">
        <v>155</v>
      </c>
      <c r="J25" s="52" t="e">
        <f ca="1">(J14+J9-J15)</f>
        <v>#VALUE!</v>
      </c>
      <c r="L25" s="36"/>
      <c r="M25" s="49"/>
      <c r="N25" s="36"/>
      <c r="O25" s="36"/>
    </row>
    <row r="26" spans="2:15" x14ac:dyDescent="0.3">
      <c r="I26" s="36" t="s">
        <v>156</v>
      </c>
      <c r="J26" s="47" t="e">
        <f ca="1">(J14+J9-J15)/J15</f>
        <v>#VALUE!</v>
      </c>
      <c r="L26" s="49"/>
      <c r="M26" s="36"/>
      <c r="N26" s="36"/>
    </row>
    <row r="27" spans="2:15" x14ac:dyDescent="0.3">
      <c r="B27" s="35" t="s">
        <v>152</v>
      </c>
      <c r="L27" s="49"/>
      <c r="M27" s="36"/>
      <c r="N27" s="36"/>
    </row>
    <row r="28" spans="2:15" x14ac:dyDescent="0.3">
      <c r="B28" s="35" t="s">
        <v>153</v>
      </c>
      <c r="C28" s="56" t="s">
        <v>180</v>
      </c>
      <c r="J28" s="35"/>
    </row>
    <row r="29" spans="2:15" x14ac:dyDescent="0.3">
      <c r="B29" s="51" t="s">
        <v>147</v>
      </c>
      <c r="C29" s="51" t="s">
        <v>148</v>
      </c>
      <c r="D29" s="51" t="s">
        <v>151</v>
      </c>
      <c r="E29" s="51" t="s">
        <v>149</v>
      </c>
      <c r="F29" s="51" t="s">
        <v>150</v>
      </c>
      <c r="L29" s="48" t="s">
        <v>146</v>
      </c>
    </row>
    <row r="30" spans="2:15" x14ac:dyDescent="0.3">
      <c r="B30" s="53">
        <v>-1000</v>
      </c>
      <c r="C30" s="37">
        <f>IF(G16="",B30/10*SIGN(J21)*-1,B30/G16*SIGN(J21))</f>
        <v>93.768023913741658</v>
      </c>
      <c r="D30" s="52">
        <f>B30*J15*-1</f>
        <v>122000000</v>
      </c>
      <c r="E30" s="52">
        <f>B30*J20*(1-G19-G20)</f>
        <v>794400</v>
      </c>
      <c r="F30" s="47">
        <f>E30/D30-G19-G20</f>
        <v>-4.8852459016393481E-4</v>
      </c>
      <c r="J30" s="42"/>
      <c r="L30" s="50" t="s">
        <v>141</v>
      </c>
      <c r="M30" s="68" t="s">
        <v>80</v>
      </c>
      <c r="N30" s="69"/>
    </row>
    <row r="31" spans="2:15" ht="14.25" customHeight="1" x14ac:dyDescent="0.3">
      <c r="L31" s="50">
        <v>46141</v>
      </c>
      <c r="M31" s="70" t="s">
        <v>197</v>
      </c>
      <c r="N31" s="71"/>
    </row>
    <row r="32" spans="2:15" x14ac:dyDescent="0.3">
      <c r="B32" s="35" t="s">
        <v>154</v>
      </c>
      <c r="L32" s="49"/>
      <c r="M32" s="36"/>
      <c r="N32" s="36"/>
    </row>
    <row r="33" spans="2:14" x14ac:dyDescent="0.3">
      <c r="B33" s="51" t="s">
        <v>147</v>
      </c>
      <c r="C33" s="51" t="s">
        <v>157</v>
      </c>
      <c r="D33" s="51" t="s">
        <v>151</v>
      </c>
      <c r="E33" s="51" t="s">
        <v>149</v>
      </c>
      <c r="F33" s="51" t="s">
        <v>150</v>
      </c>
      <c r="L33" s="49"/>
      <c r="M33" s="36"/>
      <c r="N33" s="36"/>
    </row>
    <row r="34" spans="2:14" x14ac:dyDescent="0.3">
      <c r="B34" s="53">
        <v>1000</v>
      </c>
      <c r="C34" s="37">
        <f>-B34</f>
        <v>-1000</v>
      </c>
      <c r="D34" s="37"/>
      <c r="E34" s="37" t="e">
        <f ca="1">B34*J25*(1-G19-G20)</f>
        <v>#VALUE!</v>
      </c>
      <c r="F34" s="47" t="e">
        <f ca="1">J26-G19-G20</f>
        <v>#VALUE!</v>
      </c>
      <c r="L34" s="49"/>
      <c r="M34" s="36"/>
      <c r="N34" s="36"/>
    </row>
    <row r="35" spans="2:14" x14ac:dyDescent="0.3">
      <c r="L35" s="49"/>
      <c r="M35" s="36"/>
      <c r="N35" s="36"/>
    </row>
    <row r="36" spans="2:14" x14ac:dyDescent="0.3">
      <c r="L36" s="49"/>
      <c r="M36" s="47"/>
      <c r="N36" s="36"/>
    </row>
    <row r="37" spans="2:14" x14ac:dyDescent="0.3">
      <c r="L37" s="49"/>
      <c r="M37" s="36"/>
      <c r="N37" s="36"/>
    </row>
    <row r="38" spans="2:14" x14ac:dyDescent="0.3">
      <c r="L38" s="49"/>
      <c r="M38" s="36"/>
      <c r="N38" s="36"/>
    </row>
    <row r="39" spans="2:14" x14ac:dyDescent="0.3">
      <c r="L39" s="49"/>
      <c r="M39" s="36"/>
      <c r="N39" s="36"/>
    </row>
    <row r="40" spans="2:14" x14ac:dyDescent="0.3">
      <c r="L40" s="49"/>
      <c r="M40" s="36"/>
      <c r="N40" s="36"/>
    </row>
    <row r="41" spans="2:14" x14ac:dyDescent="0.3">
      <c r="L41" s="49"/>
      <c r="M41" s="36"/>
      <c r="N41" s="36"/>
    </row>
    <row r="42" spans="2:14" x14ac:dyDescent="0.3">
      <c r="L42" s="49"/>
      <c r="M42" s="36"/>
      <c r="N42" s="36"/>
    </row>
    <row r="43" spans="2:14" x14ac:dyDescent="0.3">
      <c r="L43" s="49"/>
      <c r="M43" s="36"/>
      <c r="N43" s="36"/>
    </row>
    <row r="44" spans="2:14" x14ac:dyDescent="0.3">
      <c r="L44" s="49"/>
      <c r="M44" s="36"/>
      <c r="N44" s="36"/>
    </row>
    <row r="45" spans="2:14" x14ac:dyDescent="0.3">
      <c r="L45" s="49"/>
      <c r="M45" s="36"/>
      <c r="N45" s="36"/>
    </row>
    <row r="46" spans="2:14" x14ac:dyDescent="0.3">
      <c r="L46" s="49"/>
      <c r="M46" s="36"/>
      <c r="N46" s="36"/>
    </row>
    <row r="47" spans="2:14" x14ac:dyDescent="0.3">
      <c r="L47" s="49"/>
      <c r="M47" s="36"/>
      <c r="N47" s="36"/>
    </row>
    <row r="48" spans="2:14" x14ac:dyDescent="0.3">
      <c r="L48" s="49"/>
      <c r="M48" s="36"/>
      <c r="N48" s="36"/>
    </row>
    <row r="49" spans="12:14" x14ac:dyDescent="0.3">
      <c r="L49" s="49"/>
      <c r="M49" s="36"/>
      <c r="N49" s="36"/>
    </row>
    <row r="50" spans="12:14" x14ac:dyDescent="0.3">
      <c r="L50" s="49"/>
      <c r="M50" s="36"/>
      <c r="N50" s="36"/>
    </row>
    <row r="51" spans="12:14" x14ac:dyDescent="0.3">
      <c r="L51" s="49"/>
      <c r="M51" s="36"/>
      <c r="N51" s="36"/>
    </row>
  </sheetData>
  <mergeCells count="2">
    <mergeCell ref="M30:N30"/>
    <mergeCell ref="M31:N31"/>
  </mergeCells>
  <phoneticPr fontId="9" type="noConversion"/>
  <conditionalFormatting sqref="J21:J23">
    <cfRule type="cellIs" dxfId="21" priority="5" operator="lessThan">
      <formula>0</formula>
    </cfRule>
    <cfRule type="cellIs" dxfId="20" priority="6" operator="greaterThan">
      <formula>0</formula>
    </cfRule>
  </conditionalFormatting>
  <conditionalFormatting sqref="J26">
    <cfRule type="cellIs" dxfId="19" priority="3" operator="lessThan">
      <formula>0</formula>
    </cfRule>
    <cfRule type="cellIs" dxfId="18" priority="4" operator="greaterThan">
      <formula>0</formula>
    </cfRule>
  </conditionalFormatting>
  <conditionalFormatting sqref="B7:C16">
    <cfRule type="cellIs" dxfId="17" priority="2" operator="equal">
      <formula>$G$2</formula>
    </cfRule>
  </conditionalFormatting>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Update">
                <anchor moveWithCells="1" sizeWithCells="1">
                  <from>
                    <xdr:col>1</xdr:col>
                    <xdr:colOff>1228725</xdr:colOff>
                    <xdr:row>4</xdr:row>
                    <xdr:rowOff>9525</xdr:rowOff>
                  </from>
                  <to>
                    <xdr:col>2</xdr:col>
                    <xdr:colOff>1285875</xdr:colOff>
                    <xdr:row>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0E2F0-0287-49DA-B180-01A96DC15161}">
  <sheetPr codeName="Sheet7"/>
  <dimension ref="B1:P61"/>
  <sheetViews>
    <sheetView tabSelected="1" zoomScale="85" zoomScaleNormal="85" workbookViewId="0">
      <selection activeCell="G32" sqref="G32"/>
    </sheetView>
  </sheetViews>
  <sheetFormatPr defaultRowHeight="16.5" x14ac:dyDescent="0.3"/>
  <cols>
    <col min="1" max="1" width="10.875" customWidth="1"/>
    <col min="2" max="2" width="16.25" customWidth="1"/>
    <col min="3" max="3" width="20.75" bestFit="1" customWidth="1"/>
    <col min="4" max="4" width="21" bestFit="1" customWidth="1"/>
    <col min="5" max="5" width="13.25" bestFit="1" customWidth="1"/>
    <col min="6" max="6" width="33.875" bestFit="1" customWidth="1"/>
    <col min="7" max="7" width="22.625" bestFit="1" customWidth="1"/>
    <col min="9" max="9" width="23.75" bestFit="1" customWidth="1"/>
    <col min="10" max="10" width="113" customWidth="1"/>
    <col min="11" max="11" width="14.75" customWidth="1"/>
    <col min="12" max="12" width="18.875" style="16" bestFit="1" customWidth="1"/>
    <col min="13" max="13" width="40.625" customWidth="1"/>
    <col min="14" max="14" width="52.25" bestFit="1" customWidth="1"/>
  </cols>
  <sheetData>
    <row r="1" spans="2:14" x14ac:dyDescent="0.3">
      <c r="B1" s="57" t="s">
        <v>183</v>
      </c>
      <c r="C1" s="36" t="s">
        <v>184</v>
      </c>
    </row>
    <row r="2" spans="2:14" x14ac:dyDescent="0.3">
      <c r="B2" s="35" t="s">
        <v>107</v>
      </c>
      <c r="C2" s="41" t="s">
        <v>126</v>
      </c>
      <c r="F2" s="35" t="s">
        <v>112</v>
      </c>
      <c r="G2" s="55">
        <v>46185</v>
      </c>
    </row>
    <row r="3" spans="2:14" x14ac:dyDescent="0.3">
      <c r="B3" s="35" t="s">
        <v>109</v>
      </c>
      <c r="C3" s="36" t="s">
        <v>127</v>
      </c>
    </row>
    <row r="4" spans="2:14" x14ac:dyDescent="0.3">
      <c r="F4" s="35" t="s">
        <v>96</v>
      </c>
      <c r="I4" s="58" t="s">
        <v>99</v>
      </c>
      <c r="J4" s="58" t="s">
        <v>103</v>
      </c>
    </row>
    <row r="5" spans="2:14" x14ac:dyDescent="0.3">
      <c r="B5" s="35" t="s">
        <v>79</v>
      </c>
      <c r="F5" s="62" t="s">
        <v>186</v>
      </c>
      <c r="G5" s="53">
        <v>5000</v>
      </c>
      <c r="I5" s="36" t="s">
        <v>100</v>
      </c>
      <c r="J5" s="54">
        <v>2.6599999999999999E-2</v>
      </c>
      <c r="L5" s="48" t="s">
        <v>140</v>
      </c>
    </row>
    <row r="6" spans="2:14" x14ac:dyDescent="0.3">
      <c r="B6" s="51" t="s">
        <v>84</v>
      </c>
      <c r="C6" s="51" t="s">
        <v>85</v>
      </c>
      <c r="D6" s="51" t="s">
        <v>80</v>
      </c>
      <c r="F6" s="62" t="s">
        <v>203</v>
      </c>
      <c r="G6" s="53">
        <v>171892536</v>
      </c>
      <c r="I6" s="36" t="s">
        <v>101</v>
      </c>
      <c r="J6" s="40" cm="1">
        <f t="array" ref="J6">calc_vol()</f>
        <v>0.97573299489880438</v>
      </c>
      <c r="L6" s="50" t="s">
        <v>141</v>
      </c>
      <c r="M6" s="51" t="s">
        <v>142</v>
      </c>
      <c r="N6" s="51" t="s">
        <v>143</v>
      </c>
    </row>
    <row r="7" spans="2:14" x14ac:dyDescent="0.3">
      <c r="B7" s="38">
        <v>46107</v>
      </c>
      <c r="C7" s="38">
        <v>46107</v>
      </c>
      <c r="D7" s="36" t="s">
        <v>93</v>
      </c>
      <c r="F7" s="36" t="s">
        <v>204</v>
      </c>
      <c r="G7" s="53">
        <v>2575349</v>
      </c>
      <c r="I7" s="36" t="s">
        <v>102</v>
      </c>
      <c r="J7" s="40">
        <f>(B16-G2)/365</f>
        <v>0.15342465753424658</v>
      </c>
      <c r="L7" s="50">
        <v>46121</v>
      </c>
      <c r="M7" s="36" t="s">
        <v>145</v>
      </c>
      <c r="N7" s="36" t="s">
        <v>144</v>
      </c>
    </row>
    <row r="8" spans="2:14" x14ac:dyDescent="0.3">
      <c r="B8" s="55">
        <v>46129</v>
      </c>
      <c r="C8" s="38">
        <v>46146</v>
      </c>
      <c r="D8" s="36" t="s">
        <v>163</v>
      </c>
      <c r="F8" s="36" t="s">
        <v>205</v>
      </c>
      <c r="G8" s="53">
        <v>2437481</v>
      </c>
      <c r="I8" s="36" t="s">
        <v>111</v>
      </c>
      <c r="J8" s="37" cm="1">
        <f t="array" aca="1" ref="J8" ca="1">calc_issue_price()</f>
        <v>27900</v>
      </c>
      <c r="L8" s="50">
        <v>46129</v>
      </c>
      <c r="M8" s="36" t="s">
        <v>193</v>
      </c>
      <c r="N8" s="36" t="s">
        <v>194</v>
      </c>
    </row>
    <row r="9" spans="2:14" x14ac:dyDescent="0.3">
      <c r="B9" s="55">
        <v>46184</v>
      </c>
      <c r="C9" s="38">
        <f>B9</f>
        <v>46184</v>
      </c>
      <c r="D9" s="36" t="s">
        <v>90</v>
      </c>
      <c r="F9" s="36" t="s">
        <v>206</v>
      </c>
      <c r="G9" s="53">
        <v>30733</v>
      </c>
      <c r="I9" s="35"/>
      <c r="L9" s="50">
        <v>46183</v>
      </c>
      <c r="M9" s="36" t="s">
        <v>200</v>
      </c>
      <c r="N9" s="36" t="s">
        <v>201</v>
      </c>
    </row>
    <row r="10" spans="2:14" ht="17.25" thickBot="1" x14ac:dyDescent="0.35">
      <c r="B10" s="38">
        <v>46188</v>
      </c>
      <c r="C10" s="38">
        <f>B10</f>
        <v>46188</v>
      </c>
      <c r="D10" s="36" t="s">
        <v>192</v>
      </c>
      <c r="F10" s="36" t="s">
        <v>95</v>
      </c>
      <c r="G10" s="53">
        <v>53000000</v>
      </c>
      <c r="I10" s="58" t="s">
        <v>119</v>
      </c>
      <c r="J10" s="59" t="s">
        <v>179</v>
      </c>
      <c r="L10" s="50"/>
      <c r="M10" s="36"/>
      <c r="N10" s="36"/>
    </row>
    <row r="11" spans="2:14" x14ac:dyDescent="0.3">
      <c r="B11" s="55">
        <v>46189</v>
      </c>
      <c r="C11" s="38">
        <f>B11</f>
        <v>46189</v>
      </c>
      <c r="D11" s="36" t="s">
        <v>89</v>
      </c>
      <c r="F11" s="36" t="s">
        <v>81</v>
      </c>
      <c r="G11" s="47">
        <f>G10/(G6+G7)</f>
        <v>0.30378083622667862</v>
      </c>
      <c r="I11" s="76" t="s">
        <v>83</v>
      </c>
      <c r="J11" s="77" cm="1">
        <f t="array" aca="1" ref="J11" ca="1">bs_discrete_dividend(J15,J8,J5,J6,J7)</f>
        <v>10806.107929792011</v>
      </c>
      <c r="L11" s="50"/>
      <c r="M11" s="36"/>
      <c r="N11" s="36"/>
    </row>
    <row r="12" spans="2:14" x14ac:dyDescent="0.3">
      <c r="B12" s="55">
        <v>46209</v>
      </c>
      <c r="C12" s="38">
        <v>46213</v>
      </c>
      <c r="D12" s="36" t="s">
        <v>87</v>
      </c>
      <c r="F12" s="74" t="s">
        <v>207</v>
      </c>
      <c r="G12" s="75">
        <v>0.24651209939999999</v>
      </c>
      <c r="I12" s="78" t="s">
        <v>208</v>
      </c>
      <c r="J12" s="79" cm="1">
        <f t="array" aca="1" ref="J12" ca="1">bs_warrant_diluted(J15,J8,J5,J6,J7,G11)</f>
        <v>8288.2855994926085</v>
      </c>
      <c r="L12" s="50"/>
      <c r="M12" s="47"/>
      <c r="N12" s="36"/>
    </row>
    <row r="13" spans="2:14" x14ac:dyDescent="0.3">
      <c r="B13" s="55">
        <v>46219</v>
      </c>
      <c r="C13" s="38">
        <f>B13</f>
        <v>46219</v>
      </c>
      <c r="D13" s="36" t="s">
        <v>92</v>
      </c>
      <c r="F13" s="74" t="s">
        <v>214</v>
      </c>
      <c r="G13" s="53">
        <v>10600000</v>
      </c>
      <c r="I13" s="80" t="s">
        <v>209</v>
      </c>
      <c r="J13" s="79">
        <f ca="1">J12*G12</f>
        <v>2043.1626835577104</v>
      </c>
      <c r="L13" s="50"/>
      <c r="M13" s="36"/>
      <c r="N13" s="36"/>
    </row>
    <row r="14" spans="2:14" ht="17.25" thickBot="1" x14ac:dyDescent="0.35">
      <c r="B14" s="55">
        <v>46219</v>
      </c>
      <c r="C14" s="38">
        <f>B14</f>
        <v>46219</v>
      </c>
      <c r="D14" s="36" t="s">
        <v>82</v>
      </c>
      <c r="I14" s="81" t="s">
        <v>118</v>
      </c>
      <c r="J14" s="85">
        <v>12000</v>
      </c>
      <c r="L14" s="50"/>
      <c r="M14" s="36"/>
      <c r="N14" s="36"/>
    </row>
    <row r="15" spans="2:14" x14ac:dyDescent="0.3">
      <c r="B15" s="55">
        <v>46225</v>
      </c>
      <c r="C15" s="55">
        <v>46226</v>
      </c>
      <c r="D15" s="36" t="s">
        <v>88</v>
      </c>
      <c r="F15" s="36" t="s">
        <v>104</v>
      </c>
      <c r="G15" s="39">
        <v>0.2</v>
      </c>
      <c r="I15" s="76" t="s">
        <v>114</v>
      </c>
      <c r="J15" s="86">
        <v>37000</v>
      </c>
      <c r="L15" s="50"/>
      <c r="M15" s="36"/>
      <c r="N15" s="36"/>
    </row>
    <row r="16" spans="2:14" x14ac:dyDescent="0.3">
      <c r="B16" s="38">
        <v>46241</v>
      </c>
      <c r="C16" s="55">
        <v>46245</v>
      </c>
      <c r="D16" s="38" t="s">
        <v>164</v>
      </c>
      <c r="F16" s="36" t="s">
        <v>105</v>
      </c>
      <c r="G16" s="39">
        <v>0.2</v>
      </c>
      <c r="I16" s="83" t="s">
        <v>210</v>
      </c>
      <c r="J16" s="84">
        <f ca="1">IF(G2&lt;B10,(J15*(G6+G7)+J8*G10)/(G10+G6+G7),G20)</f>
        <v>34879.700688297162</v>
      </c>
      <c r="L16" s="50"/>
      <c r="M16" s="36"/>
      <c r="N16" s="36"/>
    </row>
    <row r="17" spans="2:15" x14ac:dyDescent="0.3">
      <c r="F17" s="36" t="s">
        <v>106</v>
      </c>
      <c r="G17" s="39">
        <v>0.4</v>
      </c>
      <c r="I17" s="88" t="s">
        <v>215</v>
      </c>
      <c r="J17" s="79">
        <f ca="1">IF(G2&lt;B10,(J15*(G6+G7)+J8*(G10-G13))/(G10-G13+G6+G7),G20)</f>
        <v>35220.85229447412</v>
      </c>
      <c r="L17" s="50"/>
      <c r="M17" s="36"/>
      <c r="N17" s="36"/>
    </row>
    <row r="18" spans="2:15" x14ac:dyDescent="0.3">
      <c r="B18" s="57" t="s">
        <v>178</v>
      </c>
      <c r="I18" s="82" t="s">
        <v>171</v>
      </c>
      <c r="J18" s="79">
        <v>36600</v>
      </c>
      <c r="K18" s="42"/>
      <c r="L18" s="50"/>
      <c r="M18" s="36"/>
      <c r="N18" s="36"/>
    </row>
    <row r="19" spans="2:15" x14ac:dyDescent="0.3">
      <c r="B19" s="51" t="s">
        <v>168</v>
      </c>
      <c r="C19" s="51" t="s">
        <v>169</v>
      </c>
      <c r="D19" s="51" t="s">
        <v>170</v>
      </c>
      <c r="F19" s="35" t="s">
        <v>97</v>
      </c>
      <c r="I19" s="35"/>
      <c r="L19" s="50"/>
      <c r="M19" s="36"/>
      <c r="N19" s="36"/>
    </row>
    <row r="20" spans="2:15" x14ac:dyDescent="0.3">
      <c r="B20" s="55">
        <v>46140</v>
      </c>
      <c r="C20" s="55">
        <v>46140</v>
      </c>
      <c r="D20" s="39">
        <v>0</v>
      </c>
      <c r="F20" s="36" t="s">
        <v>211</v>
      </c>
      <c r="G20" s="53">
        <v>34900</v>
      </c>
      <c r="I20" s="58" t="s">
        <v>139</v>
      </c>
      <c r="J20" s="59" t="s">
        <v>179</v>
      </c>
      <c r="L20" s="50"/>
      <c r="M20" s="36"/>
      <c r="N20" s="36"/>
    </row>
    <row r="21" spans="2:15" x14ac:dyDescent="0.3">
      <c r="F21" s="36" t="s">
        <v>213</v>
      </c>
      <c r="G21" s="87">
        <v>10.60788919</v>
      </c>
      <c r="I21" s="36" t="s">
        <v>176</v>
      </c>
      <c r="J21" s="37">
        <f>J18-J15</f>
        <v>-400</v>
      </c>
      <c r="L21" s="50"/>
      <c r="M21" s="36"/>
      <c r="N21" s="36"/>
    </row>
    <row r="22" spans="2:15" x14ac:dyDescent="0.3">
      <c r="B22" s="57" t="s">
        <v>173</v>
      </c>
      <c r="F22" s="89" t="s">
        <v>216</v>
      </c>
      <c r="G22" s="87">
        <f ca="1">10*J15/J17</f>
        <v>10.505140446531732</v>
      </c>
      <c r="I22" s="36" t="s">
        <v>174</v>
      </c>
      <c r="J22" s="46">
        <f>J21/J15</f>
        <v>-1.0810810810810811E-2</v>
      </c>
      <c r="L22" s="50"/>
      <c r="M22" s="36"/>
      <c r="N22" s="36"/>
    </row>
    <row r="23" spans="2:15" x14ac:dyDescent="0.3">
      <c r="B23" s="61">
        <v>46156</v>
      </c>
      <c r="I23" s="36" t="s">
        <v>177</v>
      </c>
      <c r="J23" s="60">
        <f ca="1">IF(G2&gt;=B10,J18-J15,J18-(J16+J13))</f>
        <v>-322.86337185487355</v>
      </c>
      <c r="L23" s="50"/>
      <c r="M23" s="36"/>
      <c r="N23" s="36"/>
    </row>
    <row r="24" spans="2:15" x14ac:dyDescent="0.3">
      <c r="F24" s="57" t="s">
        <v>160</v>
      </c>
      <c r="I24" s="36" t="s">
        <v>175</v>
      </c>
      <c r="J24" s="46">
        <f ca="1">J23/J15</f>
        <v>-8.7260370771587454E-3</v>
      </c>
      <c r="L24" s="67"/>
      <c r="M24" s="49"/>
      <c r="N24" s="36"/>
      <c r="O24" s="36"/>
    </row>
    <row r="25" spans="2:15" x14ac:dyDescent="0.3">
      <c r="B25" s="56"/>
      <c r="F25" s="36" t="s">
        <v>161</v>
      </c>
      <c r="G25" s="47">
        <v>2E-3</v>
      </c>
      <c r="L25" s="51"/>
      <c r="M25" s="49"/>
      <c r="N25" s="36"/>
      <c r="O25" s="36"/>
    </row>
    <row r="26" spans="2:15" x14ac:dyDescent="0.3">
      <c r="B26" s="56"/>
      <c r="F26" s="36" t="s">
        <v>162</v>
      </c>
      <c r="G26" s="47">
        <v>5.0000000000000001E-3</v>
      </c>
      <c r="I26" s="36" t="s">
        <v>155</v>
      </c>
      <c r="J26" s="52">
        <f ca="1">(J14+J8-J15)</f>
        <v>2900</v>
      </c>
      <c r="L26" s="50"/>
      <c r="M26" s="36"/>
      <c r="N26" s="36"/>
    </row>
    <row r="27" spans="2:15" x14ac:dyDescent="0.3">
      <c r="B27" s="56"/>
      <c r="I27" s="36" t="s">
        <v>156</v>
      </c>
      <c r="J27" s="47">
        <f ca="1">(J14+J8-J15)/J15</f>
        <v>7.8378378378378383E-2</v>
      </c>
      <c r="L27" s="50"/>
      <c r="M27" s="36"/>
      <c r="N27" s="36"/>
    </row>
    <row r="28" spans="2:15" x14ac:dyDescent="0.3">
      <c r="B28" s="56"/>
    </row>
    <row r="29" spans="2:15" x14ac:dyDescent="0.3">
      <c r="B29" s="56"/>
      <c r="J29" s="35"/>
      <c r="L29" s="48" t="s">
        <v>146</v>
      </c>
    </row>
    <row r="30" spans="2:15" x14ac:dyDescent="0.3">
      <c r="L30" s="50" t="s">
        <v>141</v>
      </c>
      <c r="M30" s="68" t="s">
        <v>80</v>
      </c>
      <c r="N30" s="69"/>
    </row>
    <row r="31" spans="2:15" ht="14.25" customHeight="1" x14ac:dyDescent="0.3">
      <c r="J31" s="42"/>
      <c r="L31" s="50">
        <v>46122</v>
      </c>
      <c r="M31" s="70" t="s">
        <v>159</v>
      </c>
      <c r="N31" s="71"/>
    </row>
    <row r="32" spans="2:15" x14ac:dyDescent="0.3">
      <c r="B32" s="35"/>
      <c r="C32" s="56"/>
      <c r="L32" s="50">
        <v>46132</v>
      </c>
      <c r="M32" s="36" t="s">
        <v>195</v>
      </c>
      <c r="N32" s="36"/>
    </row>
    <row r="33" spans="2:16" ht="20.25" customHeight="1" x14ac:dyDescent="0.3">
      <c r="B33" s="35" t="s">
        <v>152</v>
      </c>
      <c r="C33" s="56"/>
      <c r="L33" s="49"/>
      <c r="M33" s="65" t="s">
        <v>196</v>
      </c>
      <c r="N33" s="36"/>
    </row>
    <row r="34" spans="2:16" x14ac:dyDescent="0.3">
      <c r="B34" s="35" t="s">
        <v>153</v>
      </c>
      <c r="C34" s="56" t="s">
        <v>180</v>
      </c>
      <c r="L34" s="49">
        <v>46141</v>
      </c>
      <c r="M34" s="36" t="s">
        <v>198</v>
      </c>
      <c r="N34" s="36"/>
    </row>
    <row r="35" spans="2:16" x14ac:dyDescent="0.3">
      <c r="B35" s="36"/>
      <c r="C35" s="51" t="s">
        <v>219</v>
      </c>
      <c r="D35" s="51" t="s">
        <v>220</v>
      </c>
      <c r="E35" s="51" t="s">
        <v>148</v>
      </c>
      <c r="F35" s="51" t="s">
        <v>151</v>
      </c>
      <c r="G35" s="51" t="s">
        <v>149</v>
      </c>
      <c r="H35" s="51" t="s">
        <v>150</v>
      </c>
      <c r="L35"/>
      <c r="N35" s="49">
        <v>46188</v>
      </c>
      <c r="O35" s="36" t="s">
        <v>212</v>
      </c>
      <c r="P35" s="36"/>
    </row>
    <row r="36" spans="2:16" x14ac:dyDescent="0.3">
      <c r="B36" s="91" t="s">
        <v>217</v>
      </c>
      <c r="C36" s="53">
        <v>1000</v>
      </c>
      <c r="D36" s="53">
        <f>C36*G12</f>
        <v>246.51209939999998</v>
      </c>
      <c r="E36" s="37">
        <f>C36/10</f>
        <v>100</v>
      </c>
      <c r="F36" s="52">
        <f>C36*J15</f>
        <v>37000000</v>
      </c>
      <c r="G36" s="52">
        <f>C36*J21*(1-G25-G26)</f>
        <v>-397200</v>
      </c>
      <c r="H36" s="47">
        <f>J22-G25-G26</f>
        <v>-1.7810810810810811E-2</v>
      </c>
      <c r="L36"/>
      <c r="N36" s="49"/>
      <c r="O36" s="47"/>
      <c r="P36" s="36"/>
    </row>
    <row r="37" spans="2:16" x14ac:dyDescent="0.3">
      <c r="B37" s="91" t="s">
        <v>218</v>
      </c>
      <c r="C37" s="53">
        <v>1000</v>
      </c>
      <c r="D37" s="53">
        <v>247</v>
      </c>
      <c r="E37" s="92">
        <f>SUM(C37:D37)/G21</f>
        <v>117.55401830323984</v>
      </c>
      <c r="F37" s="52"/>
      <c r="G37" s="52"/>
      <c r="H37" s="47"/>
      <c r="K37" s="42"/>
      <c r="L37"/>
      <c r="N37" s="49"/>
      <c r="O37" s="36"/>
      <c r="P37" s="36"/>
    </row>
    <row r="38" spans="2:16" x14ac:dyDescent="0.3">
      <c r="B38" s="93"/>
      <c r="C38" s="94"/>
      <c r="D38" s="94"/>
      <c r="E38" s="95"/>
      <c r="F38" s="90"/>
      <c r="G38" s="90"/>
      <c r="H38" s="73"/>
      <c r="J38" s="72"/>
      <c r="L38" s="49"/>
      <c r="M38" s="36"/>
      <c r="N38" s="36"/>
    </row>
    <row r="39" spans="2:16" x14ac:dyDescent="0.3">
      <c r="L39" s="49"/>
      <c r="M39" s="36"/>
      <c r="N39" s="36"/>
    </row>
    <row r="40" spans="2:16" x14ac:dyDescent="0.3">
      <c r="B40" s="35" t="s">
        <v>154</v>
      </c>
      <c r="L40" s="49"/>
      <c r="M40" s="36"/>
      <c r="N40" s="36"/>
    </row>
    <row r="41" spans="2:16" x14ac:dyDescent="0.3">
      <c r="B41" s="51" t="s">
        <v>147</v>
      </c>
      <c r="C41" s="51" t="s">
        <v>157</v>
      </c>
      <c r="D41" s="51" t="s">
        <v>151</v>
      </c>
      <c r="E41" s="51" t="s">
        <v>149</v>
      </c>
      <c r="F41" s="51" t="s">
        <v>150</v>
      </c>
      <c r="L41" s="49"/>
      <c r="M41" s="36"/>
      <c r="N41" s="36"/>
    </row>
    <row r="42" spans="2:16" x14ac:dyDescent="0.3">
      <c r="B42" s="53">
        <v>1000</v>
      </c>
      <c r="C42" s="37">
        <f>-B42</f>
        <v>-1000</v>
      </c>
      <c r="D42" s="37"/>
      <c r="E42" s="37">
        <f ca="1">B42*J26*(1-G25-G26)</f>
        <v>2879700</v>
      </c>
      <c r="F42" s="47">
        <f ca="1">J27-G25-G26</f>
        <v>7.1378378378378377E-2</v>
      </c>
      <c r="L42" s="49"/>
      <c r="M42" s="36"/>
      <c r="N42" s="36"/>
    </row>
    <row r="43" spans="2:16" x14ac:dyDescent="0.3">
      <c r="L43" s="49"/>
      <c r="M43" s="36"/>
      <c r="N43" s="36"/>
    </row>
    <row r="44" spans="2:16" x14ac:dyDescent="0.3">
      <c r="L44" s="49"/>
      <c r="M44" s="36"/>
      <c r="N44" s="36"/>
    </row>
    <row r="45" spans="2:16" x14ac:dyDescent="0.3">
      <c r="L45" s="49"/>
      <c r="M45" s="36"/>
      <c r="N45" s="36"/>
    </row>
    <row r="46" spans="2:16" x14ac:dyDescent="0.3">
      <c r="L46" s="49"/>
      <c r="M46" s="36"/>
      <c r="N46" s="36"/>
    </row>
    <row r="47" spans="2:16" x14ac:dyDescent="0.3">
      <c r="L47" s="49"/>
      <c r="M47" s="36"/>
      <c r="N47" s="36"/>
    </row>
    <row r="48" spans="2:16" x14ac:dyDescent="0.3">
      <c r="L48" s="49"/>
      <c r="M48" s="36"/>
      <c r="N48" s="36"/>
    </row>
    <row r="49" spans="12:15" x14ac:dyDescent="0.3">
      <c r="L49" s="49"/>
      <c r="M49" s="36"/>
      <c r="N49" s="36"/>
    </row>
    <row r="50" spans="12:15" x14ac:dyDescent="0.3">
      <c r="L50" s="49"/>
      <c r="M50" s="36"/>
      <c r="N50" s="36"/>
    </row>
    <row r="51" spans="12:15" x14ac:dyDescent="0.3">
      <c r="L51" s="49"/>
      <c r="M51" s="36"/>
      <c r="N51" s="36"/>
    </row>
    <row r="61" spans="12:15" x14ac:dyDescent="0.3">
      <c r="O61" t="s">
        <v>202</v>
      </c>
    </row>
  </sheetData>
  <mergeCells count="2">
    <mergeCell ref="M30:N30"/>
    <mergeCell ref="M31:N31"/>
  </mergeCells>
  <phoneticPr fontId="9" type="noConversion"/>
  <conditionalFormatting sqref="J22:J24">
    <cfRule type="cellIs" dxfId="16" priority="5" operator="lessThan">
      <formula>0</formula>
    </cfRule>
    <cfRule type="cellIs" dxfId="15" priority="6" operator="greaterThan">
      <formula>0</formula>
    </cfRule>
  </conditionalFormatting>
  <conditionalFormatting sqref="J27">
    <cfRule type="cellIs" dxfId="14" priority="3" operator="lessThan">
      <formula>0</formula>
    </cfRule>
    <cfRule type="cellIs" dxfId="13" priority="4" operator="greaterThan">
      <formula>0</formula>
    </cfRule>
  </conditionalFormatting>
  <conditionalFormatting sqref="B7:C16">
    <cfRule type="cellIs" dxfId="12" priority="2" operator="equal">
      <formula>$G$2</formula>
    </cfRule>
  </conditionalFormatting>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Update">
                <anchor moveWithCells="1" sizeWithCells="1">
                  <from>
                    <xdr:col>1</xdr:col>
                    <xdr:colOff>1228725</xdr:colOff>
                    <xdr:row>4</xdr:row>
                    <xdr:rowOff>9525</xdr:rowOff>
                  </from>
                  <to>
                    <xdr:col>2</xdr:col>
                    <xdr:colOff>1285875</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BBF8F-32F7-4838-9B98-A6892236BDA5}">
  <sheetPr codeName="Sheet10"/>
  <dimension ref="B1:O51"/>
  <sheetViews>
    <sheetView zoomScale="85" zoomScaleNormal="85" workbookViewId="0">
      <selection activeCell="J21" sqref="J21"/>
    </sheetView>
  </sheetViews>
  <sheetFormatPr defaultRowHeight="16.5" x14ac:dyDescent="0.3"/>
  <cols>
    <col min="1" max="1" width="10.875" customWidth="1"/>
    <col min="2" max="2" width="16.25" customWidth="1"/>
    <col min="3" max="3" width="20.75" bestFit="1" customWidth="1"/>
    <col min="4" max="4" width="21" bestFit="1" customWidth="1"/>
    <col min="5" max="5" width="13.25" bestFit="1" customWidth="1"/>
    <col min="6" max="6" width="22" bestFit="1" customWidth="1"/>
    <col min="7" max="7" width="14.25" bestFit="1" customWidth="1"/>
    <col min="9" max="9" width="23.75" bestFit="1" customWidth="1"/>
    <col min="10" max="10" width="79.375" customWidth="1"/>
    <col min="11" max="11" width="14.75" customWidth="1"/>
    <col min="12" max="12" width="18.875" style="16" bestFit="1" customWidth="1"/>
    <col min="13" max="13" width="40.625" customWidth="1"/>
    <col min="14" max="14" width="52.25" bestFit="1" customWidth="1"/>
  </cols>
  <sheetData>
    <row r="1" spans="2:14" x14ac:dyDescent="0.3">
      <c r="B1" s="57" t="s">
        <v>183</v>
      </c>
      <c r="C1" s="36" t="s">
        <v>185</v>
      </c>
    </row>
    <row r="2" spans="2:14" x14ac:dyDescent="0.3">
      <c r="B2" s="35" t="s">
        <v>107</v>
      </c>
      <c r="C2" s="41" t="s">
        <v>182</v>
      </c>
      <c r="F2" s="35" t="s">
        <v>112</v>
      </c>
      <c r="G2" s="55">
        <v>46122</v>
      </c>
    </row>
    <row r="3" spans="2:14" x14ac:dyDescent="0.3">
      <c r="B3" s="35" t="s">
        <v>109</v>
      </c>
      <c r="C3" s="36" t="s">
        <v>181</v>
      </c>
    </row>
    <row r="4" spans="2:14" x14ac:dyDescent="0.3">
      <c r="F4" s="35" t="s">
        <v>96</v>
      </c>
    </row>
    <row r="5" spans="2:14" x14ac:dyDescent="0.3">
      <c r="B5" s="35" t="s">
        <v>79</v>
      </c>
      <c r="F5" s="62" t="s">
        <v>186</v>
      </c>
      <c r="G5" s="39">
        <v>500</v>
      </c>
      <c r="I5" s="58" t="s">
        <v>99</v>
      </c>
      <c r="J5" s="58" t="s">
        <v>103</v>
      </c>
      <c r="L5" s="48" t="s">
        <v>140</v>
      </c>
    </row>
    <row r="6" spans="2:14" x14ac:dyDescent="0.3">
      <c r="B6" s="51" t="s">
        <v>84</v>
      </c>
      <c r="C6" s="51" t="s">
        <v>85</v>
      </c>
      <c r="D6" s="51" t="s">
        <v>80</v>
      </c>
      <c r="F6" s="36" t="s">
        <v>94</v>
      </c>
      <c r="G6" s="53">
        <v>9991819</v>
      </c>
      <c r="I6" s="36" t="s">
        <v>100</v>
      </c>
      <c r="J6" s="54">
        <v>2.7E-2</v>
      </c>
      <c r="L6" s="50" t="s">
        <v>141</v>
      </c>
      <c r="M6" s="51" t="s">
        <v>142</v>
      </c>
      <c r="N6" s="51" t="s">
        <v>143</v>
      </c>
    </row>
    <row r="7" spans="2:14" x14ac:dyDescent="0.3">
      <c r="B7" s="38">
        <v>46092</v>
      </c>
      <c r="C7" s="38">
        <f>B7</f>
        <v>46092</v>
      </c>
      <c r="D7" s="36" t="s">
        <v>93</v>
      </c>
      <c r="F7" s="36" t="s">
        <v>166</v>
      </c>
      <c r="G7" s="53">
        <v>0</v>
      </c>
      <c r="I7" s="36" t="s">
        <v>101</v>
      </c>
      <c r="J7" s="40" cm="1">
        <f t="array" ref="J7">calc_vol()</f>
        <v>1.3626574924098933</v>
      </c>
      <c r="L7" s="50"/>
      <c r="M7" s="36"/>
      <c r="N7" s="36"/>
    </row>
    <row r="8" spans="2:14" x14ac:dyDescent="0.3">
      <c r="B8" s="55">
        <v>46119</v>
      </c>
      <c r="C8" s="38">
        <v>46133</v>
      </c>
      <c r="D8" s="36" t="s">
        <v>163</v>
      </c>
      <c r="F8" s="36" t="s">
        <v>95</v>
      </c>
      <c r="G8" s="53">
        <v>6000000</v>
      </c>
      <c r="I8" s="36" t="s">
        <v>102</v>
      </c>
      <c r="J8" s="40">
        <f>(B15-G2)/365</f>
        <v>0.23013698630136986</v>
      </c>
      <c r="L8" s="49"/>
      <c r="M8" s="36"/>
      <c r="N8" s="36"/>
    </row>
    <row r="9" spans="2:14" x14ac:dyDescent="0.3">
      <c r="B9" s="55">
        <v>46149</v>
      </c>
      <c r="C9" s="38">
        <f>B9</f>
        <v>46149</v>
      </c>
      <c r="D9" s="36" t="s">
        <v>90</v>
      </c>
      <c r="F9" s="36" t="s">
        <v>81</v>
      </c>
      <c r="G9" s="36">
        <f>G8/(G6-G7)</f>
        <v>0.60049126190136148</v>
      </c>
      <c r="I9" s="36" t="s">
        <v>111</v>
      </c>
      <c r="J9" s="37" t="str" cm="1">
        <f t="array" aca="1" ref="J9" ca="1">calc_issue_price()</f>
        <v>TypeError: unsupported operand type(s) for -: 'int' and 'NoneType'
                                   ~~^~~~~~~~~~
    result = ceil_to_tick((base * (1 - discount)) / (1 + (capital_increase_ratio * discount)))
  File "c:\users\msk\git\etf_research\etf_research\src\right_issue.py", line 72, in _calc_base_price
           ^^^^^^^^^^^^^^^^^^^^^^^^^^^^^^^^^^^^^^^^^^^^^^^^^^^^^^^^^^^^^^^^^^^^^^^^^^^^^^^^^^^^^^^^^^^^^^^^^^^^
    return _calc_base_price(prices, today, first_fix_discount, capital_increase_ratio, face_value, market_code)
  File "c:\users\msk\git\etf_research\etf_research\src\right_issue.py", line 97, in calc_issue_price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9" s="49"/>
      <c r="M9" s="36"/>
      <c r="N9" s="36"/>
    </row>
    <row r="10" spans="2:14" x14ac:dyDescent="0.3">
      <c r="B10" s="55">
        <v>46154</v>
      </c>
      <c r="C10" s="38">
        <f>B10</f>
        <v>46154</v>
      </c>
      <c r="D10" s="36" t="s">
        <v>89</v>
      </c>
      <c r="I10" s="35"/>
      <c r="L10" s="49"/>
      <c r="M10" s="36"/>
      <c r="N10" s="36"/>
    </row>
    <row r="11" spans="2:14" x14ac:dyDescent="0.3">
      <c r="B11" s="55">
        <v>46174</v>
      </c>
      <c r="C11" s="38">
        <v>46178</v>
      </c>
      <c r="D11" s="36" t="s">
        <v>87</v>
      </c>
      <c r="F11" s="36" t="s">
        <v>104</v>
      </c>
      <c r="G11" s="39">
        <v>0.25</v>
      </c>
      <c r="I11" s="58" t="s">
        <v>119</v>
      </c>
      <c r="J11" s="59" t="s">
        <v>179</v>
      </c>
      <c r="L11" s="49"/>
      <c r="M11" s="36"/>
      <c r="N11" s="36"/>
    </row>
    <row r="12" spans="2:14" x14ac:dyDescent="0.3">
      <c r="B12" s="55">
        <v>46185</v>
      </c>
      <c r="C12" s="38">
        <f>B12</f>
        <v>46185</v>
      </c>
      <c r="D12" s="36" t="s">
        <v>92</v>
      </c>
      <c r="F12" s="36" t="s">
        <v>105</v>
      </c>
      <c r="G12" s="39">
        <v>0.25</v>
      </c>
      <c r="I12" s="36" t="s">
        <v>83</v>
      </c>
      <c r="J12" s="37" t="str" cm="1">
        <f t="array" aca="1" ref="J12" ca="1">bs_discrete_dividend(J15,J9,J6,J7,J8)</f>
        <v>TypeError: unsupported operand type(s) for /: 'float' and 'str'
                 ~~^~~
    d1 = (np.log(S / K) + (r + sigma**2 / 2) * T) / (sigma * np.sqrt(T))
  File "c:\users\msk\git\etf_research\etf_research\src\right_issue.py", line 152, in bs_warrant
           ^^^^^^^^^^^^^^^^^^^^^^^^^^^^^
    return bs_warrant(S, K, r, sigma, T)
  File "c:\users\msk\git\etf_research\etf_research\src\right_issue.py", line 174, in bs_discrete_dividend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12" s="49"/>
      <c r="M12" s="47"/>
      <c r="N12" s="36"/>
    </row>
    <row r="13" spans="2:14" x14ac:dyDescent="0.3">
      <c r="B13" s="55">
        <v>46185</v>
      </c>
      <c r="C13" s="38">
        <f>B13</f>
        <v>46185</v>
      </c>
      <c r="D13" s="36" t="s">
        <v>82</v>
      </c>
      <c r="F13" s="36" t="s">
        <v>106</v>
      </c>
      <c r="G13" s="39">
        <v>0.4</v>
      </c>
      <c r="I13" s="36" t="s">
        <v>113</v>
      </c>
      <c r="J13" s="37" t="str" cm="1">
        <f t="array" aca="1" ref="J13" ca="1">bs_warrant_diluted(J15,J9,J6,J7,J8,G9)</f>
        <v>TypeError: unsupported operand type(s) for /: 'float' and 'str'
                 ~~^~~
    d1 = (np.log(S / K) + (r + sigma**2 / 2) * T) / (sigma * np.sqrt(T))
  File "c:\users\msk\git\etf_research\etf_research\src\right_issue.py", line 152, in bs_warrant
        ^^^^^^^^^^^^^^^^^^^^^^^^^^^^^
    C = bs_warrant(S, K, r, sigma, T)
  File "c:\users\msk\git\etf_research\etf_research\src\right_issue.py", line 185, in bs_warrant_diluted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13" s="49"/>
      <c r="M13" s="36"/>
      <c r="N13" s="36"/>
    </row>
    <row r="14" spans="2:14" x14ac:dyDescent="0.3">
      <c r="B14" s="55">
        <v>46190</v>
      </c>
      <c r="C14" s="55">
        <v>46191</v>
      </c>
      <c r="D14" s="36" t="s">
        <v>88</v>
      </c>
      <c r="I14" s="36" t="s">
        <v>118</v>
      </c>
      <c r="J14" s="37">
        <v>175</v>
      </c>
      <c r="L14" s="49"/>
      <c r="M14" s="36"/>
      <c r="N14" s="36"/>
    </row>
    <row r="15" spans="2:14" x14ac:dyDescent="0.3">
      <c r="B15" s="38">
        <v>46206</v>
      </c>
      <c r="C15" s="55">
        <v>46210</v>
      </c>
      <c r="D15" s="38" t="s">
        <v>164</v>
      </c>
      <c r="F15" s="35" t="s">
        <v>97</v>
      </c>
      <c r="I15" s="36" t="s">
        <v>114</v>
      </c>
      <c r="J15" s="37">
        <v>702</v>
      </c>
      <c r="L15" s="49"/>
      <c r="M15" s="36"/>
      <c r="N15" s="36"/>
    </row>
    <row r="16" spans="2:14" x14ac:dyDescent="0.3">
      <c r="F16" s="36" t="s">
        <v>64</v>
      </c>
      <c r="G16" s="39"/>
      <c r="I16" s="36" t="s">
        <v>171</v>
      </c>
      <c r="J16" s="37">
        <f>RealTime!L3</f>
        <v>35450</v>
      </c>
      <c r="L16" s="49"/>
      <c r="M16" s="36"/>
      <c r="N16" s="36"/>
    </row>
    <row r="17" spans="2:15" x14ac:dyDescent="0.3">
      <c r="B17" s="57" t="s">
        <v>178</v>
      </c>
      <c r="I17" s="36" t="s">
        <v>172</v>
      </c>
      <c r="J17" s="37" t="e">
        <f ca="1">IF(B22&gt;=B19,J15-D19-J13,J16)</f>
        <v>#VALUE!</v>
      </c>
      <c r="L17" s="49"/>
      <c r="M17" s="36"/>
      <c r="N17" s="36"/>
    </row>
    <row r="18" spans="2:15" x14ac:dyDescent="0.3">
      <c r="B18" s="51" t="s">
        <v>168</v>
      </c>
      <c r="C18" s="51" t="s">
        <v>169</v>
      </c>
      <c r="D18" s="51" t="s">
        <v>170</v>
      </c>
      <c r="F18" s="57" t="s">
        <v>160</v>
      </c>
      <c r="I18" s="35"/>
      <c r="K18" s="42"/>
      <c r="L18" s="49"/>
      <c r="M18" s="36"/>
      <c r="N18" s="36"/>
    </row>
    <row r="19" spans="2:15" x14ac:dyDescent="0.3">
      <c r="B19" s="55">
        <v>46140</v>
      </c>
      <c r="C19" s="55">
        <v>46140</v>
      </c>
      <c r="D19" s="39">
        <v>0</v>
      </c>
      <c r="F19" s="36" t="s">
        <v>161</v>
      </c>
      <c r="G19" s="47">
        <v>2E-3</v>
      </c>
      <c r="I19" s="58" t="s">
        <v>139</v>
      </c>
      <c r="J19" s="59" t="s">
        <v>179</v>
      </c>
      <c r="L19" s="49"/>
      <c r="M19" s="36"/>
      <c r="N19" s="36"/>
    </row>
    <row r="20" spans="2:15" x14ac:dyDescent="0.3">
      <c r="F20" s="36" t="s">
        <v>162</v>
      </c>
      <c r="G20" s="47">
        <v>5.0000000000000001E-3</v>
      </c>
      <c r="I20" s="36" t="s">
        <v>176</v>
      </c>
      <c r="J20" s="37" t="e">
        <f ca="1">J16-(J15-J13)</f>
        <v>#VALUE!</v>
      </c>
      <c r="L20" s="49"/>
      <c r="M20" s="36"/>
      <c r="N20" s="36"/>
    </row>
    <row r="21" spans="2:15" x14ac:dyDescent="0.3">
      <c r="B21" s="57" t="s">
        <v>173</v>
      </c>
      <c r="I21" s="36" t="s">
        <v>174</v>
      </c>
      <c r="L21" s="49"/>
      <c r="M21" s="36"/>
      <c r="N21" s="36"/>
    </row>
    <row r="22" spans="2:15" x14ac:dyDescent="0.3">
      <c r="B22" s="61">
        <v>46156</v>
      </c>
      <c r="I22" s="36" t="s">
        <v>177</v>
      </c>
      <c r="J22" s="60" t="e">
        <f ca="1">J17-(J15-J13)</f>
        <v>#VALUE!</v>
      </c>
      <c r="L22" s="49"/>
      <c r="M22" s="36"/>
      <c r="N22" s="36"/>
    </row>
    <row r="23" spans="2:15" x14ac:dyDescent="0.3">
      <c r="I23" s="36" t="s">
        <v>175</v>
      </c>
      <c r="J23" s="46" t="e">
        <f ca="1">J22/J15</f>
        <v>#VALUE!</v>
      </c>
      <c r="L23" s="49"/>
      <c r="M23" s="36"/>
      <c r="N23" s="36"/>
    </row>
    <row r="24" spans="2:15" x14ac:dyDescent="0.3">
      <c r="B24" s="56" t="s">
        <v>167</v>
      </c>
      <c r="L24" s="37"/>
      <c r="M24" s="49"/>
      <c r="N24" s="36"/>
      <c r="O24" s="36"/>
    </row>
    <row r="25" spans="2:15" x14ac:dyDescent="0.3">
      <c r="I25" s="36" t="s">
        <v>155</v>
      </c>
      <c r="J25" s="52" t="e">
        <f ca="1">(J14+J9-J15)</f>
        <v>#VALUE!</v>
      </c>
      <c r="L25" s="36"/>
      <c r="M25" s="49"/>
      <c r="N25" s="36"/>
      <c r="O25" s="36"/>
    </row>
    <row r="26" spans="2:15" x14ac:dyDescent="0.3">
      <c r="B26" s="35" t="s">
        <v>152</v>
      </c>
      <c r="I26" s="36" t="s">
        <v>156</v>
      </c>
      <c r="J26" s="47" t="e">
        <f ca="1">(J14+J9-J15)/J15</f>
        <v>#VALUE!</v>
      </c>
      <c r="L26" s="49"/>
      <c r="M26" s="36"/>
      <c r="N26" s="36"/>
    </row>
    <row r="27" spans="2:15" x14ac:dyDescent="0.3">
      <c r="B27" s="35" t="s">
        <v>153</v>
      </c>
      <c r="C27" s="56" t="s">
        <v>180</v>
      </c>
      <c r="L27" s="49"/>
      <c r="M27" s="36"/>
      <c r="N27" s="36"/>
    </row>
    <row r="28" spans="2:15" x14ac:dyDescent="0.3">
      <c r="B28" s="51" t="s">
        <v>147</v>
      </c>
      <c r="C28" s="51" t="s">
        <v>148</v>
      </c>
      <c r="D28" s="51" t="s">
        <v>151</v>
      </c>
      <c r="E28" s="51" t="s">
        <v>149</v>
      </c>
      <c r="F28" s="51" t="s">
        <v>150</v>
      </c>
      <c r="J28" s="35"/>
    </row>
    <row r="29" spans="2:15" x14ac:dyDescent="0.3">
      <c r="B29" s="53">
        <v>1000</v>
      </c>
      <c r="C29" s="37">
        <f>IF(G16="",B29/10*SIGN(J21)*-1,B29/G16*SIGN(J21)*-1)</f>
        <v>0</v>
      </c>
      <c r="D29" s="52">
        <f>B29*J15</f>
        <v>702000</v>
      </c>
      <c r="E29" s="52" t="e">
        <f ca="1">B29*J20*(1-G19-G20)</f>
        <v>#VALUE!</v>
      </c>
      <c r="F29" s="47">
        <f>J21-G19-G20</f>
        <v>-7.0000000000000001E-3</v>
      </c>
      <c r="L29" s="48" t="s">
        <v>146</v>
      </c>
    </row>
    <row r="30" spans="2:15" x14ac:dyDescent="0.3">
      <c r="J30" s="42"/>
      <c r="L30" s="50" t="s">
        <v>141</v>
      </c>
      <c r="M30" s="68" t="s">
        <v>80</v>
      </c>
      <c r="N30" s="69"/>
    </row>
    <row r="31" spans="2:15" ht="14.25" customHeight="1" x14ac:dyDescent="0.3">
      <c r="B31" s="35" t="s">
        <v>154</v>
      </c>
      <c r="L31" s="50"/>
      <c r="M31" s="70"/>
      <c r="N31" s="71"/>
    </row>
    <row r="32" spans="2:15" x14ac:dyDescent="0.3">
      <c r="B32" s="51" t="s">
        <v>147</v>
      </c>
      <c r="C32" s="51" t="s">
        <v>157</v>
      </c>
      <c r="D32" s="51" t="s">
        <v>151</v>
      </c>
      <c r="E32" s="51" t="s">
        <v>149</v>
      </c>
      <c r="F32" s="51" t="s">
        <v>150</v>
      </c>
      <c r="L32" s="49"/>
      <c r="M32" s="36"/>
      <c r="N32" s="36"/>
    </row>
    <row r="33" spans="2:14" x14ac:dyDescent="0.3">
      <c r="B33" s="53">
        <v>1000</v>
      </c>
      <c r="C33" s="37">
        <f>-B33</f>
        <v>-1000</v>
      </c>
      <c r="D33" s="37"/>
      <c r="E33" s="37" t="e">
        <f ca="1">B33*J25*(1-G19-G20)</f>
        <v>#VALUE!</v>
      </c>
      <c r="F33" s="47" t="e">
        <f ca="1">J26-G19-G20</f>
        <v>#VALUE!</v>
      </c>
      <c r="L33" s="49"/>
      <c r="M33" s="36"/>
      <c r="N33" s="36"/>
    </row>
    <row r="34" spans="2:14" x14ac:dyDescent="0.3">
      <c r="L34" s="49"/>
      <c r="M34" s="36"/>
      <c r="N34" s="36"/>
    </row>
    <row r="35" spans="2:14" x14ac:dyDescent="0.3">
      <c r="L35" s="49"/>
      <c r="M35" s="36"/>
      <c r="N35" s="36"/>
    </row>
    <row r="36" spans="2:14" x14ac:dyDescent="0.3">
      <c r="L36" s="49"/>
      <c r="M36" s="47"/>
      <c r="N36" s="36"/>
    </row>
    <row r="37" spans="2:14" x14ac:dyDescent="0.3">
      <c r="L37" s="49"/>
      <c r="M37" s="36"/>
      <c r="N37" s="36"/>
    </row>
    <row r="38" spans="2:14" x14ac:dyDescent="0.3">
      <c r="L38" s="49"/>
      <c r="M38" s="36"/>
      <c r="N38" s="36"/>
    </row>
    <row r="39" spans="2:14" x14ac:dyDescent="0.3">
      <c r="L39" s="49"/>
      <c r="M39" s="36"/>
      <c r="N39" s="36"/>
    </row>
    <row r="40" spans="2:14" x14ac:dyDescent="0.3">
      <c r="L40" s="49"/>
      <c r="M40" s="36"/>
      <c r="N40" s="36"/>
    </row>
    <row r="41" spans="2:14" x14ac:dyDescent="0.3">
      <c r="L41" s="49"/>
      <c r="M41" s="36"/>
      <c r="N41" s="36"/>
    </row>
    <row r="42" spans="2:14" x14ac:dyDescent="0.3">
      <c r="L42" s="49"/>
      <c r="M42" s="36"/>
      <c r="N42" s="36"/>
    </row>
    <row r="43" spans="2:14" x14ac:dyDescent="0.3">
      <c r="L43" s="49"/>
      <c r="M43" s="36"/>
      <c r="N43" s="36"/>
    </row>
    <row r="44" spans="2:14" x14ac:dyDescent="0.3">
      <c r="L44" s="49"/>
      <c r="M44" s="36"/>
      <c r="N44" s="36"/>
    </row>
    <row r="45" spans="2:14" x14ac:dyDescent="0.3">
      <c r="L45" s="49"/>
      <c r="M45" s="36"/>
      <c r="N45" s="36"/>
    </row>
    <row r="46" spans="2:14" x14ac:dyDescent="0.3">
      <c r="L46" s="49"/>
      <c r="M46" s="36"/>
      <c r="N46" s="36"/>
    </row>
    <row r="47" spans="2:14" x14ac:dyDescent="0.3">
      <c r="L47" s="49"/>
      <c r="M47" s="36"/>
      <c r="N47" s="36"/>
    </row>
    <row r="48" spans="2:14" x14ac:dyDescent="0.3">
      <c r="L48" s="49"/>
      <c r="M48" s="36"/>
      <c r="N48" s="36"/>
    </row>
    <row r="49" spans="12:14" x14ac:dyDescent="0.3">
      <c r="L49" s="49"/>
      <c r="M49" s="36"/>
      <c r="N49" s="36"/>
    </row>
    <row r="50" spans="12:14" x14ac:dyDescent="0.3">
      <c r="L50" s="49"/>
      <c r="M50" s="36"/>
      <c r="N50" s="36"/>
    </row>
    <row r="51" spans="12:14" x14ac:dyDescent="0.3">
      <c r="L51" s="49"/>
      <c r="M51" s="36"/>
      <c r="N51" s="36"/>
    </row>
  </sheetData>
  <mergeCells count="2">
    <mergeCell ref="M30:N30"/>
    <mergeCell ref="M31:N31"/>
  </mergeCells>
  <phoneticPr fontId="9" type="noConversion"/>
  <conditionalFormatting sqref="J22:J23">
    <cfRule type="cellIs" dxfId="11" priority="5" operator="lessThan">
      <formula>0</formula>
    </cfRule>
    <cfRule type="cellIs" dxfId="10" priority="6" operator="greaterThan">
      <formula>0</formula>
    </cfRule>
  </conditionalFormatting>
  <conditionalFormatting sqref="J26">
    <cfRule type="cellIs" dxfId="9" priority="3" operator="lessThan">
      <formula>0</formula>
    </cfRule>
    <cfRule type="cellIs" dxfId="8" priority="4" operator="greaterThan">
      <formula>0</formula>
    </cfRule>
  </conditionalFormatting>
  <conditionalFormatting sqref="C8">
    <cfRule type="cellIs" dxfId="7" priority="2" operator="equal">
      <formula>$G$2</formula>
    </cfRule>
  </conditionalFormatting>
  <conditionalFormatting sqref="B7:C15">
    <cfRule type="cellIs" dxfId="6" priority="1" operator="equal">
      <formula>$G$2</formula>
    </cfRule>
  </conditionalFormatting>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Update">
                <anchor moveWithCells="1" sizeWithCells="1">
                  <from>
                    <xdr:col>1</xdr:col>
                    <xdr:colOff>1228725</xdr:colOff>
                    <xdr:row>4</xdr:row>
                    <xdr:rowOff>9525</xdr:rowOff>
                  </from>
                  <to>
                    <xdr:col>2</xdr:col>
                    <xdr:colOff>1285875</xdr:colOff>
                    <xdr:row>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BBD28-862A-41D2-B72E-2E8E36CA655F}">
  <sheetPr codeName="Sheet11"/>
  <dimension ref="B1:O51"/>
  <sheetViews>
    <sheetView zoomScale="85" zoomScaleNormal="85" workbookViewId="0">
      <selection activeCell="J16" sqref="J16"/>
    </sheetView>
  </sheetViews>
  <sheetFormatPr defaultRowHeight="16.5" x14ac:dyDescent="0.3"/>
  <cols>
    <col min="1" max="1" width="10.875" customWidth="1"/>
    <col min="2" max="2" width="16.25" customWidth="1"/>
    <col min="3" max="3" width="20.75" bestFit="1" customWidth="1"/>
    <col min="4" max="4" width="21" bestFit="1" customWidth="1"/>
    <col min="5" max="5" width="13.25" bestFit="1" customWidth="1"/>
    <col min="6" max="6" width="22" bestFit="1" customWidth="1"/>
    <col min="7" max="7" width="14.25" bestFit="1" customWidth="1"/>
    <col min="9" max="9" width="23.75" bestFit="1" customWidth="1"/>
    <col min="10" max="10" width="79.375" customWidth="1"/>
    <col min="11" max="11" width="14.75" customWidth="1"/>
    <col min="12" max="12" width="18.875" style="16" bestFit="1" customWidth="1"/>
    <col min="13" max="13" width="40.625" customWidth="1"/>
    <col min="14" max="14" width="52.25" bestFit="1" customWidth="1"/>
  </cols>
  <sheetData>
    <row r="1" spans="2:14" x14ac:dyDescent="0.3">
      <c r="B1" s="57" t="s">
        <v>183</v>
      </c>
      <c r="C1" s="36" t="s">
        <v>185</v>
      </c>
    </row>
    <row r="2" spans="2:14" x14ac:dyDescent="0.3">
      <c r="B2" s="35" t="s">
        <v>107</v>
      </c>
      <c r="C2" s="41" t="s">
        <v>187</v>
      </c>
      <c r="F2" s="35" t="s">
        <v>112</v>
      </c>
      <c r="G2" s="55">
        <v>46122</v>
      </c>
    </row>
    <row r="3" spans="2:14" x14ac:dyDescent="0.3">
      <c r="B3" s="35" t="s">
        <v>109</v>
      </c>
      <c r="C3" s="36" t="s">
        <v>188</v>
      </c>
    </row>
    <row r="4" spans="2:14" x14ac:dyDescent="0.3">
      <c r="F4" s="35" t="s">
        <v>96</v>
      </c>
    </row>
    <row r="5" spans="2:14" x14ac:dyDescent="0.3">
      <c r="B5" s="35" t="s">
        <v>79</v>
      </c>
      <c r="F5" s="62" t="s">
        <v>186</v>
      </c>
      <c r="G5" s="39">
        <v>500</v>
      </c>
      <c r="I5" s="58" t="s">
        <v>99</v>
      </c>
      <c r="J5" s="58" t="s">
        <v>103</v>
      </c>
      <c r="L5" s="48" t="s">
        <v>140</v>
      </c>
    </row>
    <row r="6" spans="2:14" x14ac:dyDescent="0.3">
      <c r="B6" s="51" t="s">
        <v>84</v>
      </c>
      <c r="C6" s="51" t="s">
        <v>85</v>
      </c>
      <c r="D6" s="51" t="s">
        <v>80</v>
      </c>
      <c r="F6" s="36" t="s">
        <v>94</v>
      </c>
      <c r="G6" s="53">
        <v>10819866</v>
      </c>
      <c r="I6" s="36" t="s">
        <v>100</v>
      </c>
      <c r="J6" s="54">
        <v>2.7E-2</v>
      </c>
      <c r="L6" s="50" t="s">
        <v>141</v>
      </c>
      <c r="M6" s="51" t="s">
        <v>142</v>
      </c>
      <c r="N6" s="51" t="s">
        <v>143</v>
      </c>
    </row>
    <row r="7" spans="2:14" x14ac:dyDescent="0.3">
      <c r="B7" s="38">
        <v>46121</v>
      </c>
      <c r="C7" s="38">
        <f>B7</f>
        <v>46121</v>
      </c>
      <c r="D7" s="36" t="s">
        <v>93</v>
      </c>
      <c r="F7" s="36" t="s">
        <v>166</v>
      </c>
      <c r="G7" s="53">
        <v>0</v>
      </c>
      <c r="I7" s="36" t="s">
        <v>101</v>
      </c>
      <c r="J7" s="40" cm="1">
        <f t="array" ref="J7">calc_vol()</f>
        <v>0.76482620347557151</v>
      </c>
      <c r="L7" s="50"/>
      <c r="M7" s="36"/>
      <c r="N7" s="36"/>
    </row>
    <row r="8" spans="2:14" x14ac:dyDescent="0.3">
      <c r="B8" s="55">
        <v>46121</v>
      </c>
      <c r="C8" s="38">
        <v>46135</v>
      </c>
      <c r="D8" s="36" t="s">
        <v>163</v>
      </c>
      <c r="F8" s="36" t="s">
        <v>95</v>
      </c>
      <c r="G8" s="53">
        <v>9180134</v>
      </c>
      <c r="I8" s="36" t="s">
        <v>102</v>
      </c>
      <c r="J8" s="40">
        <f>(B15-G2)/365</f>
        <v>0.24383561643835616</v>
      </c>
      <c r="L8" s="49"/>
      <c r="M8" s="36"/>
      <c r="N8" s="36"/>
    </row>
    <row r="9" spans="2:14" x14ac:dyDescent="0.3">
      <c r="B9" s="38">
        <v>46153</v>
      </c>
      <c r="C9" s="38">
        <f>B9</f>
        <v>46153</v>
      </c>
      <c r="D9" s="36" t="s">
        <v>90</v>
      </c>
      <c r="F9" s="36" t="s">
        <v>81</v>
      </c>
      <c r="G9" s="36">
        <f>G8/(G6-G7)</f>
        <v>0.84845172759071141</v>
      </c>
      <c r="I9" s="36" t="s">
        <v>111</v>
      </c>
      <c r="J9" s="37" t="str" cm="1">
        <f t="array" aca="1" ref="J9" ca="1">calc_issue_price()</f>
        <v>TypeError: unsupported operand type(s) for -: 'int' and 'NoneType'
                                   ~~^~~~~~~~~~
    result = ceil_to_tick((base * (1 - discount)) / (1 + (capital_increase_ratio * discount)))
  File "c:\users\msk\git\etf_research\etf_research\src\right_issue.py", line 72, in _calc_base_price
           ^^^^^^^^^^^^^^^^^^^^^^^^^^^^^^^^^^^^^^^^^^^^^^^^^^^^^^^^^^^^^^^^^^^^^^^^^^^^^^^^^^^^^^^^^^^^^^^^^^^^
    return _calc_base_price(prices, today, first_fix_discount, capital_increase_ratio, face_value, market_code)
  File "c:\users\msk\git\etf_research\etf_research\src\right_issue.py", line 97, in calc_issue_price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9" s="49"/>
      <c r="M9" s="36"/>
      <c r="N9" s="36"/>
    </row>
    <row r="10" spans="2:14" x14ac:dyDescent="0.3">
      <c r="B10" s="55">
        <v>46156</v>
      </c>
      <c r="C10" s="38">
        <f>B10</f>
        <v>46156</v>
      </c>
      <c r="D10" s="36" t="s">
        <v>89</v>
      </c>
      <c r="I10" s="35"/>
      <c r="L10" s="49"/>
      <c r="M10" s="36"/>
      <c r="N10" s="36"/>
    </row>
    <row r="11" spans="2:14" x14ac:dyDescent="0.3">
      <c r="B11" s="55">
        <v>46177</v>
      </c>
      <c r="C11" s="38">
        <v>46183</v>
      </c>
      <c r="D11" s="36" t="s">
        <v>87</v>
      </c>
      <c r="F11" s="36" t="s">
        <v>104</v>
      </c>
      <c r="G11" s="39">
        <v>0.25</v>
      </c>
      <c r="I11" s="58" t="s">
        <v>119</v>
      </c>
      <c r="J11" s="59" t="s">
        <v>179</v>
      </c>
      <c r="L11" s="49"/>
      <c r="M11" s="36"/>
      <c r="N11" s="36"/>
    </row>
    <row r="12" spans="2:14" x14ac:dyDescent="0.3">
      <c r="B12" s="38">
        <v>46185</v>
      </c>
      <c r="C12" s="38">
        <f>B12</f>
        <v>46185</v>
      </c>
      <c r="D12" s="36" t="s">
        <v>92</v>
      </c>
      <c r="F12" s="36" t="s">
        <v>105</v>
      </c>
      <c r="G12" s="39">
        <v>0.25</v>
      </c>
      <c r="I12" s="36" t="s">
        <v>83</v>
      </c>
      <c r="J12" s="37" t="str" cm="1">
        <f t="array" aca="1" ref="J12" ca="1">bs_discrete_dividend(J15,J9,J6,J7,J8)</f>
        <v>TypeError: unsupported operand type(s) for /: 'float' and 'str'
                 ~~^~~
    d1 = (np.log(S / K) + (r + sigma**2 / 2) * T) / (sigma * np.sqrt(T))
  File "c:\users\msk\git\etf_research\etf_research\src\right_issue.py", line 152, in bs_warrant
           ^^^^^^^^^^^^^^^^^^^^^^^^^^^^^
    return bs_warrant(S, K, r, sigma, T)
  File "c:\users\msk\git\etf_research\etf_research\src\right_issue.py", line 174, in bs_discrete_dividend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12" s="49"/>
      <c r="M12" s="47"/>
      <c r="N12" s="36"/>
    </row>
    <row r="13" spans="2:14" x14ac:dyDescent="0.3">
      <c r="B13" s="55">
        <v>46185</v>
      </c>
      <c r="C13" s="38">
        <f>B13</f>
        <v>46185</v>
      </c>
      <c r="D13" s="36" t="s">
        <v>82</v>
      </c>
      <c r="F13" s="36" t="s">
        <v>106</v>
      </c>
      <c r="G13" s="39">
        <v>0.4</v>
      </c>
      <c r="I13" s="36" t="s">
        <v>113</v>
      </c>
      <c r="J13" s="37" t="str" cm="1">
        <f t="array" aca="1" ref="J13" ca="1">bs_warrant_diluted(J15,J9,J6,J7,J8,G9)</f>
        <v>TypeError: unsupported operand type(s) for /: 'float' and 'str'
                 ~~^~~
    d1 = (np.log(S / K) + (r + sigma**2 / 2) * T) / (sigma * np.sqrt(T))
  File "c:\users\msk\git\etf_research\etf_research\src\right_issue.py", line 152, in bs_warrant
        ^^^^^^^^^^^^^^^^^^^^^^^^^^^^^
    C = bs_warrant(S, K, r, sigma, T)
  File "c:\users\msk\git\etf_research\etf_research\src\right_issue.py", line 185, in bs_warrant_diluted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13" s="49"/>
      <c r="M13" s="36"/>
      <c r="N13" s="36"/>
    </row>
    <row r="14" spans="2:14" x14ac:dyDescent="0.3">
      <c r="B14" s="55">
        <v>46192</v>
      </c>
      <c r="C14" s="55">
        <v>46195</v>
      </c>
      <c r="D14" s="36" t="s">
        <v>88</v>
      </c>
      <c r="I14" s="36" t="s">
        <v>118</v>
      </c>
      <c r="J14" s="37" t="str">
        <f ca="1">J13</f>
        <v>TypeError: unsupported operand type(s) for /: 'float' and 'str'
                 ~~^~~
    d1 = (np.log(S / K) + (r + sigma**2 / 2) * T) / (sigma * np.sqrt(T))
  File "c:\users\msk\git\etf_research\etf_research\src\right_issue.py", line 152, in bs_warrant
        ^^^^^^^^^^^^^^^^^^^^^^^^^^^^^
    C = bs_warrant(S, K, r, sigma, T)
  File "c:\users\msk\git\etf_research\etf_research\src\right_issue.py", line 185, in bs_warrant_diluted
          ^^^^^^^^^^^
    ret = func(*args)
  File "C:\Users\MSK\anaconda3\envs\etf\Lib\site-packages\xlwings\udfs.py", line 536, in call_udf
          ^^^^^^^^^^^^^^^^^^^^^^^^^^^^^^^^^^^^^^^^^^^^^^^^^^^^^^^^^^^^^^^^^
    res = call_udf(script, fname, args, this_workbook, FromVariant(caller))
  File "C:\Users\MSK\anaconda3\envs\etf\Lib\site-packages\xlwings\com_server.py", line 235, in CallUDF
           ^^^^^^^^^^^
    return func(*args)
  File "C:\Users\MSK\anaconda3\envs\etf\Lib\site-packages\win32com\server\policy.py", line 631, in _invokeex_
                     ^^^^^^^^^^^^^^^^^^^^^^^^^^^^^^^^^^^^^^^^^^^^^^^^^^^^^^^
    return S_OK, -1, self._invokeex_(dispid, lcid, wFlags, args, None, None)
  File "C:\Users\MSK\anaconda3\envs\etf\Lib\site-packages\win32com\server\policy.py", line 303, in _invoke_
           ^^^^^^^^^^^^^^^^^^^^^^^^^^^^^^^^^^^^^^^^^
    return self._invoke_(dispid, lcid, wFlags, args)
  File "C:\Users\MSK\anaconda3\envs\etf\Lib\site-packages\win32com\server\policy.py", line 298, in _Invoke_</v>
      </c>
      <c r="L14" s="49"/>
      <c r="M14" s="36"/>
      <c r="N14" s="36"/>
    </row>
    <row r="15" spans="2:14" x14ac:dyDescent="0.3">
      <c r="B15" s="38">
        <v>46211</v>
      </c>
      <c r="C15" s="55">
        <v>46213</v>
      </c>
      <c r="D15" s="38" t="s">
        <v>164</v>
      </c>
      <c r="F15" s="35" t="s">
        <v>97</v>
      </c>
      <c r="I15" s="36" t="s">
        <v>114</v>
      </c>
      <c r="J15" s="37">
        <v>3175</v>
      </c>
      <c r="L15" s="49"/>
      <c r="M15" s="36"/>
      <c r="N15" s="36"/>
    </row>
    <row r="16" spans="2:14" x14ac:dyDescent="0.3">
      <c r="F16" s="36" t="s">
        <v>64</v>
      </c>
      <c r="G16" s="39"/>
      <c r="I16" s="36" t="s">
        <v>171</v>
      </c>
      <c r="J16" s="37">
        <f>RealTime!L3</f>
        <v>35450</v>
      </c>
      <c r="L16" s="49"/>
      <c r="M16" s="36"/>
      <c r="N16" s="36"/>
    </row>
    <row r="17" spans="2:15" x14ac:dyDescent="0.3">
      <c r="B17" s="57" t="s">
        <v>178</v>
      </c>
      <c r="I17" s="36" t="s">
        <v>172</v>
      </c>
      <c r="J17" s="37" t="e">
        <f ca="1">IF(B22&gt;=B19,J15-D19-J13,J16)</f>
        <v>#VALUE!</v>
      </c>
      <c r="L17" s="49"/>
      <c r="M17" s="36"/>
      <c r="N17" s="36"/>
    </row>
    <row r="18" spans="2:15" x14ac:dyDescent="0.3">
      <c r="B18" s="51" t="s">
        <v>168</v>
      </c>
      <c r="C18" s="51" t="s">
        <v>169</v>
      </c>
      <c r="D18" s="51" t="s">
        <v>170</v>
      </c>
      <c r="F18" s="57" t="s">
        <v>160</v>
      </c>
      <c r="I18" s="35"/>
      <c r="K18" s="42"/>
      <c r="L18" s="49"/>
      <c r="M18" s="36"/>
      <c r="N18" s="36"/>
    </row>
    <row r="19" spans="2:15" x14ac:dyDescent="0.3">
      <c r="B19" s="55">
        <v>46140</v>
      </c>
      <c r="C19" s="55">
        <v>46140</v>
      </c>
      <c r="D19" s="39">
        <v>0</v>
      </c>
      <c r="F19" s="36" t="s">
        <v>161</v>
      </c>
      <c r="G19" s="47">
        <v>2E-3</v>
      </c>
      <c r="I19" s="58" t="s">
        <v>139</v>
      </c>
      <c r="J19" s="59" t="s">
        <v>179</v>
      </c>
      <c r="L19" s="49"/>
      <c r="M19" s="36"/>
      <c r="N19" s="36"/>
    </row>
    <row r="20" spans="2:15" x14ac:dyDescent="0.3">
      <c r="F20" s="36" t="s">
        <v>162</v>
      </c>
      <c r="G20" s="47">
        <v>5.0000000000000001E-3</v>
      </c>
      <c r="I20" s="36" t="s">
        <v>176</v>
      </c>
      <c r="J20" s="37" t="e">
        <f ca="1">J16-(J15-J13)</f>
        <v>#VALUE!</v>
      </c>
      <c r="L20" s="49"/>
      <c r="M20" s="36"/>
      <c r="N20" s="36"/>
    </row>
    <row r="21" spans="2:15" x14ac:dyDescent="0.3">
      <c r="B21" s="57" t="s">
        <v>173</v>
      </c>
      <c r="I21" s="36" t="s">
        <v>174</v>
      </c>
      <c r="J21" s="46" t="e">
        <f ca="1">J20/J15</f>
        <v>#VALUE!</v>
      </c>
      <c r="L21" s="49"/>
      <c r="M21" s="36"/>
      <c r="N21" s="36"/>
    </row>
    <row r="22" spans="2:15" x14ac:dyDescent="0.3">
      <c r="B22" s="61">
        <v>46156</v>
      </c>
      <c r="I22" s="36" t="s">
        <v>177</v>
      </c>
      <c r="J22" s="60" t="e">
        <f ca="1">J17-(J15-J13)</f>
        <v>#VALUE!</v>
      </c>
      <c r="L22" s="49"/>
      <c r="M22" s="36"/>
      <c r="N22" s="36"/>
    </row>
    <row r="23" spans="2:15" x14ac:dyDescent="0.3">
      <c r="I23" s="36" t="s">
        <v>175</v>
      </c>
      <c r="J23" s="46" t="e">
        <f ca="1">J22/J15</f>
        <v>#VALUE!</v>
      </c>
      <c r="L23" s="49"/>
      <c r="M23" s="36"/>
      <c r="N23" s="36"/>
    </row>
    <row r="24" spans="2:15" x14ac:dyDescent="0.3">
      <c r="B24" s="56" t="s">
        <v>167</v>
      </c>
      <c r="L24" s="37"/>
      <c r="M24" s="49"/>
      <c r="N24" s="36"/>
      <c r="O24" s="36"/>
    </row>
    <row r="25" spans="2:15" x14ac:dyDescent="0.3">
      <c r="I25" s="36" t="s">
        <v>155</v>
      </c>
      <c r="J25" s="52" t="e">
        <f ca="1">(J14+J9-J15)</f>
        <v>#VALUE!</v>
      </c>
      <c r="L25" s="36"/>
      <c r="M25" s="49"/>
      <c r="N25" s="36"/>
      <c r="O25" s="36"/>
    </row>
    <row r="26" spans="2:15" x14ac:dyDescent="0.3">
      <c r="B26" s="35" t="s">
        <v>152</v>
      </c>
      <c r="I26" s="36" t="s">
        <v>156</v>
      </c>
      <c r="J26" s="47" t="e">
        <f ca="1">(J14+J9-J15)/J15</f>
        <v>#VALUE!</v>
      </c>
      <c r="L26" s="49"/>
      <c r="M26" s="36"/>
      <c r="N26" s="36"/>
    </row>
    <row r="27" spans="2:15" x14ac:dyDescent="0.3">
      <c r="B27" s="35" t="s">
        <v>153</v>
      </c>
      <c r="C27" s="56" t="s">
        <v>180</v>
      </c>
      <c r="L27" s="49"/>
      <c r="M27" s="36"/>
      <c r="N27" s="36"/>
    </row>
    <row r="28" spans="2:15" x14ac:dyDescent="0.3">
      <c r="B28" s="51" t="s">
        <v>147</v>
      </c>
      <c r="C28" s="51" t="s">
        <v>148</v>
      </c>
      <c r="D28" s="51" t="s">
        <v>151</v>
      </c>
      <c r="E28" s="51" t="s">
        <v>149</v>
      </c>
      <c r="F28" s="51" t="s">
        <v>150</v>
      </c>
      <c r="J28" s="35"/>
    </row>
    <row r="29" spans="2:15" x14ac:dyDescent="0.3">
      <c r="B29" s="53">
        <v>1000</v>
      </c>
      <c r="C29" s="37" t="e">
        <f ca="1">IF(G16="",B29/10*SIGN(J21)*-1,B29/G16*SIGN(J21)*-1)</f>
        <v>#VALUE!</v>
      </c>
      <c r="D29" s="52">
        <f>B29*J15</f>
        <v>3175000</v>
      </c>
      <c r="E29" s="52" t="e">
        <f ca="1">B29*J20*(1-G19-G20)</f>
        <v>#VALUE!</v>
      </c>
      <c r="F29" s="47" t="e">
        <f ca="1">J21-G19-G20</f>
        <v>#VALUE!</v>
      </c>
      <c r="L29" s="48" t="s">
        <v>146</v>
      </c>
    </row>
    <row r="30" spans="2:15" x14ac:dyDescent="0.3">
      <c r="J30" s="42"/>
      <c r="L30" s="50" t="s">
        <v>141</v>
      </c>
      <c r="M30" s="68" t="s">
        <v>80</v>
      </c>
      <c r="N30" s="69"/>
    </row>
    <row r="31" spans="2:15" ht="14.25" customHeight="1" x14ac:dyDescent="0.3">
      <c r="B31" s="35" t="s">
        <v>154</v>
      </c>
      <c r="L31" s="50"/>
      <c r="M31" s="70"/>
      <c r="N31" s="71"/>
    </row>
    <row r="32" spans="2:15" x14ac:dyDescent="0.3">
      <c r="B32" s="51" t="s">
        <v>147</v>
      </c>
      <c r="C32" s="51" t="s">
        <v>157</v>
      </c>
      <c r="D32" s="51" t="s">
        <v>151</v>
      </c>
      <c r="E32" s="51" t="s">
        <v>149</v>
      </c>
      <c r="F32" s="51" t="s">
        <v>150</v>
      </c>
      <c r="L32" s="49"/>
      <c r="M32" s="36"/>
      <c r="N32" s="36"/>
    </row>
    <row r="33" spans="2:14" x14ac:dyDescent="0.3">
      <c r="B33" s="53">
        <v>1000</v>
      </c>
      <c r="C33" s="37">
        <f>-B33</f>
        <v>-1000</v>
      </c>
      <c r="D33" s="37"/>
      <c r="E33" s="37" t="e">
        <f ca="1">B33*J25*(1-G19-G20)</f>
        <v>#VALUE!</v>
      </c>
      <c r="F33" s="47" t="e">
        <f ca="1">J26-G19-G20</f>
        <v>#VALUE!</v>
      </c>
      <c r="L33" s="49"/>
      <c r="M33" s="36"/>
      <c r="N33" s="36"/>
    </row>
    <row r="34" spans="2:14" x14ac:dyDescent="0.3">
      <c r="L34" s="49"/>
      <c r="M34" s="36"/>
      <c r="N34" s="36"/>
    </row>
    <row r="35" spans="2:14" x14ac:dyDescent="0.3">
      <c r="L35" s="49"/>
      <c r="M35" s="36"/>
      <c r="N35" s="36"/>
    </row>
    <row r="36" spans="2:14" x14ac:dyDescent="0.3">
      <c r="L36" s="49"/>
      <c r="M36" s="47"/>
      <c r="N36" s="36"/>
    </row>
    <row r="37" spans="2:14" x14ac:dyDescent="0.3">
      <c r="L37" s="49"/>
      <c r="M37" s="36"/>
      <c r="N37" s="36"/>
    </row>
    <row r="38" spans="2:14" x14ac:dyDescent="0.3">
      <c r="L38" s="49"/>
      <c r="M38" s="36"/>
      <c r="N38" s="36"/>
    </row>
    <row r="39" spans="2:14" x14ac:dyDescent="0.3">
      <c r="L39" s="49"/>
      <c r="M39" s="36"/>
      <c r="N39" s="36"/>
    </row>
    <row r="40" spans="2:14" x14ac:dyDescent="0.3">
      <c r="L40" s="49"/>
      <c r="M40" s="36"/>
      <c r="N40" s="36"/>
    </row>
    <row r="41" spans="2:14" x14ac:dyDescent="0.3">
      <c r="L41" s="49"/>
      <c r="M41" s="36"/>
      <c r="N41" s="36"/>
    </row>
    <row r="42" spans="2:14" x14ac:dyDescent="0.3">
      <c r="L42" s="49"/>
      <c r="M42" s="36"/>
      <c r="N42" s="36"/>
    </row>
    <row r="43" spans="2:14" x14ac:dyDescent="0.3">
      <c r="L43" s="49"/>
      <c r="M43" s="36"/>
      <c r="N43" s="36"/>
    </row>
    <row r="44" spans="2:14" x14ac:dyDescent="0.3">
      <c r="L44" s="49"/>
      <c r="M44" s="36"/>
      <c r="N44" s="36"/>
    </row>
    <row r="45" spans="2:14" x14ac:dyDescent="0.3">
      <c r="L45" s="49"/>
      <c r="M45" s="36"/>
      <c r="N45" s="36"/>
    </row>
    <row r="46" spans="2:14" x14ac:dyDescent="0.3">
      <c r="L46" s="49"/>
      <c r="M46" s="36"/>
      <c r="N46" s="36"/>
    </row>
    <row r="47" spans="2:14" x14ac:dyDescent="0.3">
      <c r="L47" s="49"/>
      <c r="M47" s="36"/>
      <c r="N47" s="36"/>
    </row>
    <row r="48" spans="2:14" x14ac:dyDescent="0.3">
      <c r="L48" s="49"/>
      <c r="M48" s="36"/>
      <c r="N48" s="36"/>
    </row>
    <row r="49" spans="12:14" x14ac:dyDescent="0.3">
      <c r="L49" s="49"/>
      <c r="M49" s="36"/>
      <c r="N49" s="36"/>
    </row>
    <row r="50" spans="12:14" x14ac:dyDescent="0.3">
      <c r="L50" s="49"/>
      <c r="M50" s="36"/>
      <c r="N50" s="36"/>
    </row>
    <row r="51" spans="12:14" x14ac:dyDescent="0.3">
      <c r="L51" s="49"/>
      <c r="M51" s="36"/>
      <c r="N51" s="36"/>
    </row>
  </sheetData>
  <mergeCells count="2">
    <mergeCell ref="M30:N30"/>
    <mergeCell ref="M31:N31"/>
  </mergeCells>
  <phoneticPr fontId="9" type="noConversion"/>
  <conditionalFormatting sqref="J21:J23">
    <cfRule type="cellIs" dxfId="5" priority="5" operator="lessThan">
      <formula>0</formula>
    </cfRule>
    <cfRule type="cellIs" dxfId="4" priority="6" operator="greaterThan">
      <formula>0</formula>
    </cfRule>
  </conditionalFormatting>
  <conditionalFormatting sqref="J26">
    <cfRule type="cellIs" dxfId="3" priority="3" operator="lessThan">
      <formula>0</formula>
    </cfRule>
    <cfRule type="cellIs" dxfId="2" priority="4" operator="greaterThan">
      <formula>0</formula>
    </cfRule>
  </conditionalFormatting>
  <conditionalFormatting sqref="C8">
    <cfRule type="cellIs" dxfId="1" priority="2" operator="equal">
      <formula>$G$2</formula>
    </cfRule>
  </conditionalFormatting>
  <conditionalFormatting sqref="B7:C15">
    <cfRule type="cellIs" dxfId="0" priority="1" operator="equal">
      <formula>$G$2</formula>
    </cfRule>
  </conditionalFormatting>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Update">
                <anchor moveWithCells="1" sizeWithCells="1">
                  <from>
                    <xdr:col>1</xdr:col>
                    <xdr:colOff>1228725</xdr:colOff>
                    <xdr:row>4</xdr:row>
                    <xdr:rowOff>9525</xdr:rowOff>
                  </from>
                  <to>
                    <xdr:col>2</xdr:col>
                    <xdr:colOff>1285875</xdr:colOff>
                    <xdr:row>5</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69E1B-51AC-4E25-89D0-614CE9233731}">
  <sheetPr codeName="Sheet5"/>
  <dimension ref="A2:G380"/>
  <sheetViews>
    <sheetView showGridLines="0" workbookViewId="0">
      <selection activeCell="N8" sqref="N8"/>
    </sheetView>
  </sheetViews>
  <sheetFormatPr defaultRowHeight="16.5" x14ac:dyDescent="0.3"/>
  <cols>
    <col min="1" max="1" width="14.75" bestFit="1" customWidth="1"/>
    <col min="2" max="3" width="23.375" bestFit="1" customWidth="1"/>
    <col min="4" max="7" width="19.875" bestFit="1" customWidth="1"/>
  </cols>
  <sheetData>
    <row r="2" spans="1:7" x14ac:dyDescent="0.3">
      <c r="A2" s="1" t="s">
        <v>0</v>
      </c>
      <c r="B2" s="1"/>
      <c r="C2" s="1"/>
      <c r="D2" s="1"/>
      <c r="E2" s="1"/>
      <c r="F2" s="1"/>
      <c r="G2" s="1"/>
    </row>
    <row r="3" spans="1:7" x14ac:dyDescent="0.3">
      <c r="A3" s="2" t="s">
        <v>1</v>
      </c>
      <c r="B3" s="2" t="s">
        <v>2</v>
      </c>
      <c r="C3" s="9" t="s">
        <v>13</v>
      </c>
      <c r="D3" s="2"/>
      <c r="E3" s="2"/>
      <c r="F3" s="2"/>
      <c r="G3" s="2"/>
    </row>
    <row r="4" spans="1:7" x14ac:dyDescent="0.3">
      <c r="A4" s="2" t="s">
        <v>3</v>
      </c>
      <c r="B4" s="2" t="s">
        <v>2</v>
      </c>
      <c r="C4" s="2" t="s">
        <v>2</v>
      </c>
      <c r="D4" s="2"/>
      <c r="E4" s="2"/>
      <c r="F4" s="2"/>
      <c r="G4" s="2"/>
    </row>
    <row r="5" spans="1:7" x14ac:dyDescent="0.3">
      <c r="A5" s="2" t="s">
        <v>4</v>
      </c>
      <c r="B5" s="11" t="s">
        <v>9</v>
      </c>
      <c r="C5" s="10" t="s">
        <v>11</v>
      </c>
      <c r="D5" s="2"/>
      <c r="E5" s="2"/>
      <c r="F5" s="2"/>
      <c r="G5" s="2"/>
    </row>
    <row r="6" spans="1:7" x14ac:dyDescent="0.3">
      <c r="A6" s="2" t="s">
        <v>5</v>
      </c>
      <c r="B6" s="12" t="s">
        <v>10</v>
      </c>
      <c r="C6" s="9" t="s">
        <v>12</v>
      </c>
      <c r="D6" s="2"/>
      <c r="E6" s="2"/>
      <c r="F6" s="2"/>
      <c r="G6" s="2"/>
    </row>
    <row r="7" spans="1:7" x14ac:dyDescent="0.3">
      <c r="A7" s="2" t="s">
        <v>16</v>
      </c>
      <c r="B7" s="26" t="s">
        <v>34</v>
      </c>
      <c r="C7" s="2" t="s">
        <v>2</v>
      </c>
      <c r="D7" s="2"/>
      <c r="E7" s="2"/>
      <c r="F7" s="2"/>
      <c r="G7" s="2"/>
    </row>
    <row r="8" spans="1:7" x14ac:dyDescent="0.3">
      <c r="A8" s="17" t="s">
        <v>17</v>
      </c>
      <c r="B8" s="17">
        <v>20250406</v>
      </c>
      <c r="C8" s="17" t="s">
        <v>18</v>
      </c>
      <c r="D8" s="17"/>
      <c r="E8" s="17"/>
      <c r="F8" s="17"/>
      <c r="G8" s="17"/>
    </row>
    <row r="9" spans="1:7" x14ac:dyDescent="0.3">
      <c r="A9" s="18" t="s">
        <v>19</v>
      </c>
      <c r="B9" s="19" t="s">
        <v>22</v>
      </c>
      <c r="C9" s="19" t="s">
        <v>22</v>
      </c>
      <c r="D9" s="19" t="s">
        <v>30</v>
      </c>
      <c r="E9" s="19" t="s">
        <v>30</v>
      </c>
      <c r="F9" s="19" t="s">
        <v>32</v>
      </c>
      <c r="G9" s="19" t="s">
        <v>32</v>
      </c>
    </row>
    <row r="10" spans="1:7" x14ac:dyDescent="0.3">
      <c r="A10" s="3" t="s">
        <v>20</v>
      </c>
      <c r="B10" s="4" t="s">
        <v>23</v>
      </c>
      <c r="C10" s="4" t="s">
        <v>23</v>
      </c>
      <c r="D10" s="4" t="s">
        <v>31</v>
      </c>
      <c r="E10" s="4" t="s">
        <v>31</v>
      </c>
      <c r="F10" s="4" t="s">
        <v>33</v>
      </c>
      <c r="G10" s="4" t="s">
        <v>33</v>
      </c>
    </row>
    <row r="11" spans="1:7" x14ac:dyDescent="0.3">
      <c r="A11" s="3" t="s">
        <v>21</v>
      </c>
      <c r="B11" s="4" t="s">
        <v>24</v>
      </c>
      <c r="C11" s="4" t="s">
        <v>24</v>
      </c>
      <c r="D11" s="4" t="s">
        <v>24</v>
      </c>
      <c r="E11" s="4" t="s">
        <v>24</v>
      </c>
      <c r="F11" s="4" t="s">
        <v>24</v>
      </c>
      <c r="G11" s="4" t="s">
        <v>24</v>
      </c>
    </row>
    <row r="12" spans="1:7" x14ac:dyDescent="0.3">
      <c r="A12" s="3" t="s">
        <v>3</v>
      </c>
      <c r="B12" s="4" t="s">
        <v>25</v>
      </c>
      <c r="C12" s="4" t="s">
        <v>28</v>
      </c>
      <c r="D12" s="4" t="s">
        <v>25</v>
      </c>
      <c r="E12" s="4" t="s">
        <v>28</v>
      </c>
      <c r="F12" s="4" t="s">
        <v>25</v>
      </c>
      <c r="G12" s="4" t="s">
        <v>28</v>
      </c>
    </row>
    <row r="13" spans="1:7" x14ac:dyDescent="0.3">
      <c r="A13" s="3" t="s">
        <v>6</v>
      </c>
      <c r="B13" s="4" t="s">
        <v>26</v>
      </c>
      <c r="C13" s="4" t="s">
        <v>29</v>
      </c>
      <c r="D13" s="4" t="s">
        <v>26</v>
      </c>
      <c r="E13" s="4" t="s">
        <v>29</v>
      </c>
      <c r="F13" s="4" t="s">
        <v>26</v>
      </c>
      <c r="G13" s="4" t="s">
        <v>29</v>
      </c>
    </row>
    <row r="14" spans="1:7" x14ac:dyDescent="0.3">
      <c r="A14" s="20" t="s">
        <v>4</v>
      </c>
      <c r="B14" s="21" t="s">
        <v>27</v>
      </c>
      <c r="C14" s="21" t="s">
        <v>27</v>
      </c>
      <c r="D14" s="21" t="s">
        <v>27</v>
      </c>
      <c r="E14" s="21" t="s">
        <v>27</v>
      </c>
      <c r="F14" s="21" t="s">
        <v>27</v>
      </c>
      <c r="G14" s="21" t="s">
        <v>27</v>
      </c>
    </row>
    <row r="15" spans="1:7" x14ac:dyDescent="0.3">
      <c r="A15" s="5">
        <v>45753</v>
      </c>
      <c r="B15" s="22">
        <v>698000</v>
      </c>
      <c r="C15" s="22">
        <v>718000</v>
      </c>
      <c r="D15" s="22">
        <v>698000</v>
      </c>
      <c r="E15" s="22">
        <v>706000</v>
      </c>
      <c r="F15" s="22">
        <v>696000</v>
      </c>
      <c r="G15" s="23">
        <v>705000</v>
      </c>
    </row>
    <row r="16" spans="1:7" x14ac:dyDescent="0.3">
      <c r="A16" s="5">
        <v>45754</v>
      </c>
      <c r="B16" s="22">
        <v>706000</v>
      </c>
      <c r="C16" s="22">
        <v>652000</v>
      </c>
      <c r="D16" s="22">
        <v>706000</v>
      </c>
      <c r="E16" s="22">
        <v>640000</v>
      </c>
      <c r="F16" s="22">
        <v>705000</v>
      </c>
      <c r="G16" s="23">
        <v>642000</v>
      </c>
    </row>
    <row r="17" spans="1:7" x14ac:dyDescent="0.3">
      <c r="A17" s="5">
        <v>45755</v>
      </c>
      <c r="B17" s="22">
        <v>640000</v>
      </c>
      <c r="C17" s="22">
        <v>712000</v>
      </c>
      <c r="D17" s="22">
        <v>640000</v>
      </c>
      <c r="E17" s="22">
        <v>700000</v>
      </c>
      <c r="F17" s="22">
        <v>642000</v>
      </c>
      <c r="G17" s="23">
        <v>695000</v>
      </c>
    </row>
    <row r="18" spans="1:7" x14ac:dyDescent="0.3">
      <c r="A18" s="5">
        <v>45756</v>
      </c>
      <c r="B18" s="22">
        <v>700000</v>
      </c>
      <c r="C18" s="22">
        <v>703000</v>
      </c>
      <c r="D18" s="22">
        <v>700000</v>
      </c>
      <c r="E18" s="22">
        <v>691000</v>
      </c>
      <c r="F18" s="22">
        <v>695000</v>
      </c>
      <c r="G18" s="23">
        <v>689000</v>
      </c>
    </row>
    <row r="19" spans="1:7" x14ac:dyDescent="0.3">
      <c r="A19" s="7">
        <v>45757</v>
      </c>
      <c r="B19" s="24">
        <v>691000</v>
      </c>
      <c r="C19" s="24">
        <v>747000</v>
      </c>
      <c r="D19" s="24">
        <v>691000</v>
      </c>
      <c r="E19" s="24">
        <v>735000</v>
      </c>
      <c r="F19" s="24">
        <v>689000</v>
      </c>
      <c r="G19" s="25">
        <v>732000</v>
      </c>
    </row>
    <row r="20" spans="1:7" x14ac:dyDescent="0.3">
      <c r="A20" s="5">
        <v>45758</v>
      </c>
      <c r="B20" s="22">
        <v>732000</v>
      </c>
      <c r="C20" s="22">
        <v>793000</v>
      </c>
      <c r="D20" s="22">
        <v>732000</v>
      </c>
      <c r="E20" s="22">
        <v>778000</v>
      </c>
      <c r="F20" s="22">
        <v>726000</v>
      </c>
      <c r="G20" s="23">
        <v>776000</v>
      </c>
    </row>
    <row r="21" spans="1:7" x14ac:dyDescent="0.3">
      <c r="A21" s="5">
        <v>45759</v>
      </c>
      <c r="B21" s="22">
        <v>732000</v>
      </c>
      <c r="C21" s="22">
        <v>793000</v>
      </c>
      <c r="D21" s="22">
        <v>732000</v>
      </c>
      <c r="E21" s="22">
        <v>778000</v>
      </c>
      <c r="F21" s="22">
        <v>726000</v>
      </c>
      <c r="G21" s="23">
        <v>776000</v>
      </c>
    </row>
    <row r="22" spans="1:7" x14ac:dyDescent="0.3">
      <c r="A22" s="5">
        <v>45760</v>
      </c>
      <c r="B22" s="22">
        <v>732000</v>
      </c>
      <c r="C22" s="22">
        <v>793000</v>
      </c>
      <c r="D22" s="22">
        <v>732000</v>
      </c>
      <c r="E22" s="22">
        <v>778000</v>
      </c>
      <c r="F22" s="22">
        <v>726000</v>
      </c>
      <c r="G22" s="23">
        <v>776000</v>
      </c>
    </row>
    <row r="23" spans="1:7" x14ac:dyDescent="0.3">
      <c r="A23" s="5">
        <v>45761</v>
      </c>
      <c r="B23" s="22">
        <v>778000</v>
      </c>
      <c r="C23" s="22">
        <v>807000</v>
      </c>
      <c r="D23" s="22">
        <v>778000</v>
      </c>
      <c r="E23" s="22">
        <v>792000</v>
      </c>
      <c r="F23" s="22">
        <v>776000</v>
      </c>
      <c r="G23" s="23">
        <v>793000</v>
      </c>
    </row>
    <row r="24" spans="1:7" x14ac:dyDescent="0.3">
      <c r="A24" s="7">
        <v>45762</v>
      </c>
      <c r="B24" s="24">
        <v>792000</v>
      </c>
      <c r="C24" s="24">
        <v>787000</v>
      </c>
      <c r="D24" s="24">
        <v>792000</v>
      </c>
      <c r="E24" s="24">
        <v>772000</v>
      </c>
      <c r="F24" s="24">
        <v>793000</v>
      </c>
      <c r="G24" s="25">
        <v>772000</v>
      </c>
    </row>
    <row r="25" spans="1:7" x14ac:dyDescent="0.3">
      <c r="A25" s="5">
        <v>45763</v>
      </c>
      <c r="B25" s="22">
        <v>772000</v>
      </c>
      <c r="C25" s="22">
        <v>802000</v>
      </c>
      <c r="D25" s="22">
        <v>772000</v>
      </c>
      <c r="E25" s="22">
        <v>787000</v>
      </c>
      <c r="F25" s="22">
        <v>772000</v>
      </c>
      <c r="G25" s="23">
        <v>780000</v>
      </c>
    </row>
    <row r="26" spans="1:7" x14ac:dyDescent="0.3">
      <c r="A26" s="5">
        <v>45764</v>
      </c>
      <c r="B26" s="22">
        <v>787000</v>
      </c>
      <c r="C26" s="22">
        <v>830000</v>
      </c>
      <c r="D26" s="22">
        <v>787000</v>
      </c>
      <c r="E26" s="22">
        <v>815000</v>
      </c>
      <c r="F26" s="22">
        <v>780000</v>
      </c>
      <c r="G26" s="23">
        <v>811000</v>
      </c>
    </row>
    <row r="27" spans="1:7" x14ac:dyDescent="0.3">
      <c r="A27" s="5">
        <v>45765</v>
      </c>
      <c r="B27" s="22">
        <v>815000</v>
      </c>
      <c r="C27" s="22">
        <v>843000</v>
      </c>
      <c r="D27" s="22">
        <v>815000</v>
      </c>
      <c r="E27" s="22">
        <v>828000</v>
      </c>
      <c r="F27" s="22">
        <v>811000</v>
      </c>
      <c r="G27" s="23">
        <v>831000</v>
      </c>
    </row>
    <row r="28" spans="1:7" x14ac:dyDescent="0.3">
      <c r="A28" s="5">
        <v>45766</v>
      </c>
      <c r="B28" s="22">
        <v>815000</v>
      </c>
      <c r="C28" s="22">
        <v>843000</v>
      </c>
      <c r="D28" s="22">
        <v>815000</v>
      </c>
      <c r="E28" s="22">
        <v>828000</v>
      </c>
      <c r="F28" s="22">
        <v>811000</v>
      </c>
      <c r="G28" s="23">
        <v>831000</v>
      </c>
    </row>
    <row r="29" spans="1:7" x14ac:dyDescent="0.3">
      <c r="A29" s="7">
        <v>45767</v>
      </c>
      <c r="B29" s="24">
        <v>815000</v>
      </c>
      <c r="C29" s="24">
        <v>843000</v>
      </c>
      <c r="D29" s="24">
        <v>815000</v>
      </c>
      <c r="E29" s="24">
        <v>828000</v>
      </c>
      <c r="F29" s="24">
        <v>811000</v>
      </c>
      <c r="G29" s="25">
        <v>831000</v>
      </c>
    </row>
    <row r="30" spans="1:7" x14ac:dyDescent="0.3">
      <c r="A30" s="5">
        <v>45768</v>
      </c>
      <c r="B30" s="22">
        <v>828000</v>
      </c>
      <c r="C30" s="22">
        <v>845000</v>
      </c>
      <c r="D30" s="22">
        <v>828000</v>
      </c>
      <c r="E30" s="22">
        <v>830000</v>
      </c>
      <c r="F30" s="22">
        <v>831000</v>
      </c>
      <c r="G30" s="23">
        <v>828000</v>
      </c>
    </row>
    <row r="31" spans="1:7" x14ac:dyDescent="0.3">
      <c r="A31" s="5">
        <v>45769</v>
      </c>
      <c r="B31" s="22">
        <v>830000</v>
      </c>
      <c r="C31" s="22">
        <v>847000</v>
      </c>
      <c r="D31" s="22">
        <v>830000</v>
      </c>
      <c r="E31" s="22">
        <v>832000</v>
      </c>
      <c r="F31" s="22">
        <v>828000</v>
      </c>
      <c r="G31" s="23">
        <v>830000</v>
      </c>
    </row>
    <row r="32" spans="1:7" x14ac:dyDescent="0.3">
      <c r="A32" s="5">
        <v>45770</v>
      </c>
      <c r="B32" s="22">
        <v>832000</v>
      </c>
      <c r="C32" s="22">
        <v>830000</v>
      </c>
      <c r="D32" s="22">
        <v>832000</v>
      </c>
      <c r="E32" s="22">
        <v>815000</v>
      </c>
      <c r="F32" s="22">
        <v>830000</v>
      </c>
      <c r="G32" s="23">
        <v>806000</v>
      </c>
    </row>
    <row r="33" spans="1:7" x14ac:dyDescent="0.3">
      <c r="A33" s="5">
        <v>45771</v>
      </c>
      <c r="B33" s="22">
        <v>815000</v>
      </c>
      <c r="C33" s="22">
        <v>839000</v>
      </c>
      <c r="D33" s="22">
        <v>815000</v>
      </c>
      <c r="E33" s="22">
        <v>824000</v>
      </c>
      <c r="F33" s="22">
        <v>806000</v>
      </c>
      <c r="G33" s="23">
        <v>826000</v>
      </c>
    </row>
    <row r="34" spans="1:7" x14ac:dyDescent="0.3">
      <c r="A34" s="7">
        <v>45772</v>
      </c>
      <c r="B34" s="24">
        <v>824000</v>
      </c>
      <c r="C34" s="24">
        <v>838000</v>
      </c>
      <c r="D34" s="24">
        <v>824000</v>
      </c>
      <c r="E34" s="24">
        <v>823000</v>
      </c>
      <c r="F34" s="24">
        <v>826000</v>
      </c>
      <c r="G34" s="25">
        <v>822000</v>
      </c>
    </row>
    <row r="35" spans="1:7" x14ac:dyDescent="0.3">
      <c r="A35" s="5">
        <v>45773</v>
      </c>
      <c r="B35" s="22">
        <v>824000</v>
      </c>
      <c r="C35" s="22">
        <v>838000</v>
      </c>
      <c r="D35" s="22">
        <v>824000</v>
      </c>
      <c r="E35" s="22">
        <v>823000</v>
      </c>
      <c r="F35" s="22">
        <v>826000</v>
      </c>
      <c r="G35" s="23">
        <v>822000</v>
      </c>
    </row>
    <row r="36" spans="1:7" x14ac:dyDescent="0.3">
      <c r="A36" s="5">
        <v>45774</v>
      </c>
      <c r="B36" s="22">
        <v>824000</v>
      </c>
      <c r="C36" s="22">
        <v>838000</v>
      </c>
      <c r="D36" s="22">
        <v>824000</v>
      </c>
      <c r="E36" s="22">
        <v>823000</v>
      </c>
      <c r="F36" s="22">
        <v>826000</v>
      </c>
      <c r="G36" s="23">
        <v>822000</v>
      </c>
    </row>
    <row r="37" spans="1:7" x14ac:dyDescent="0.3">
      <c r="A37" s="5">
        <v>45775</v>
      </c>
      <c r="B37" s="22">
        <v>823000</v>
      </c>
      <c r="C37" s="22">
        <v>841000</v>
      </c>
      <c r="D37" s="22">
        <v>823000</v>
      </c>
      <c r="E37" s="22">
        <v>826000</v>
      </c>
      <c r="F37" s="22">
        <v>822000</v>
      </c>
      <c r="G37" s="23">
        <v>827000</v>
      </c>
    </row>
    <row r="38" spans="1:7" x14ac:dyDescent="0.3">
      <c r="A38" s="5">
        <v>45776</v>
      </c>
      <c r="B38" s="22">
        <v>826000</v>
      </c>
      <c r="C38" s="22">
        <v>822000</v>
      </c>
      <c r="D38" s="22">
        <v>826000</v>
      </c>
      <c r="E38" s="22">
        <v>807000</v>
      </c>
      <c r="F38" s="22">
        <v>827000</v>
      </c>
      <c r="G38" s="23">
        <v>803000</v>
      </c>
    </row>
    <row r="39" spans="1:7" x14ac:dyDescent="0.3">
      <c r="A39" s="7">
        <v>45777</v>
      </c>
      <c r="B39" s="24">
        <v>807000</v>
      </c>
      <c r="C39" s="24">
        <v>810000</v>
      </c>
      <c r="D39" s="24">
        <v>807000</v>
      </c>
      <c r="E39" s="24">
        <v>795000</v>
      </c>
      <c r="F39" s="24">
        <v>803000</v>
      </c>
      <c r="G39" s="25">
        <v>801000</v>
      </c>
    </row>
    <row r="40" spans="1:7" x14ac:dyDescent="0.3">
      <c r="A40" s="5">
        <v>45778</v>
      </c>
      <c r="B40" s="22">
        <v>807000</v>
      </c>
      <c r="C40" s="22">
        <v>810000</v>
      </c>
      <c r="D40" s="22">
        <v>807000</v>
      </c>
      <c r="E40" s="22">
        <v>795000</v>
      </c>
      <c r="F40" s="22">
        <v>803000</v>
      </c>
      <c r="G40" s="23">
        <v>801000</v>
      </c>
    </row>
    <row r="41" spans="1:7" x14ac:dyDescent="0.3">
      <c r="A41" s="5">
        <v>45779</v>
      </c>
      <c r="B41" s="22">
        <v>795000</v>
      </c>
      <c r="C41" s="22">
        <v>831000</v>
      </c>
      <c r="D41" s="22">
        <v>795000</v>
      </c>
      <c r="E41" s="22">
        <v>816000</v>
      </c>
      <c r="F41" s="22">
        <v>801000</v>
      </c>
      <c r="G41" s="23">
        <v>816000</v>
      </c>
    </row>
    <row r="42" spans="1:7" x14ac:dyDescent="0.3">
      <c r="A42" s="5">
        <v>45780</v>
      </c>
      <c r="B42" s="22">
        <v>795000</v>
      </c>
      <c r="C42" s="22">
        <v>831000</v>
      </c>
      <c r="D42" s="22">
        <v>795000</v>
      </c>
      <c r="E42" s="22">
        <v>816000</v>
      </c>
      <c r="F42" s="22">
        <v>801000</v>
      </c>
      <c r="G42" s="23">
        <v>816000</v>
      </c>
    </row>
    <row r="43" spans="1:7" x14ac:dyDescent="0.3">
      <c r="A43" s="5">
        <v>45781</v>
      </c>
      <c r="B43" s="22">
        <v>795000</v>
      </c>
      <c r="C43" s="22">
        <v>831000</v>
      </c>
      <c r="D43" s="22">
        <v>795000</v>
      </c>
      <c r="E43" s="22">
        <v>816000</v>
      </c>
      <c r="F43" s="22">
        <v>801000</v>
      </c>
      <c r="G43" s="23">
        <v>816000</v>
      </c>
    </row>
    <row r="44" spans="1:7" x14ac:dyDescent="0.3">
      <c r="A44" s="7">
        <v>45782</v>
      </c>
      <c r="B44" s="24">
        <v>795000</v>
      </c>
      <c r="C44" s="24">
        <v>831000</v>
      </c>
      <c r="D44" s="24">
        <v>795000</v>
      </c>
      <c r="E44" s="24">
        <v>816000</v>
      </c>
      <c r="F44" s="24">
        <v>801000</v>
      </c>
      <c r="G44" s="25">
        <v>816000</v>
      </c>
    </row>
    <row r="45" spans="1:7" x14ac:dyDescent="0.3">
      <c r="A45" s="5">
        <v>45783</v>
      </c>
      <c r="B45" s="22">
        <v>795000</v>
      </c>
      <c r="C45" s="22">
        <v>831000</v>
      </c>
      <c r="D45" s="22">
        <v>795000</v>
      </c>
      <c r="E45" s="22">
        <v>816000</v>
      </c>
      <c r="F45" s="22">
        <v>801000</v>
      </c>
      <c r="G45" s="23">
        <v>816000</v>
      </c>
    </row>
    <row r="46" spans="1:7" x14ac:dyDescent="0.3">
      <c r="A46" s="5">
        <v>45784</v>
      </c>
      <c r="B46" s="22">
        <v>816000</v>
      </c>
      <c r="C46" s="22">
        <v>908000</v>
      </c>
      <c r="D46" s="22">
        <v>816000</v>
      </c>
      <c r="E46" s="22">
        <v>893000</v>
      </c>
      <c r="F46" s="22">
        <v>816000</v>
      </c>
      <c r="G46" s="23">
        <v>890000</v>
      </c>
    </row>
    <row r="47" spans="1:7" x14ac:dyDescent="0.3">
      <c r="A47" s="5">
        <v>45785</v>
      </c>
      <c r="B47" s="22">
        <v>893000</v>
      </c>
      <c r="C47" s="22">
        <v>899000</v>
      </c>
      <c r="D47" s="22">
        <v>893000</v>
      </c>
      <c r="E47" s="22">
        <v>884000</v>
      </c>
      <c r="F47" s="22">
        <v>890000</v>
      </c>
      <c r="G47" s="23">
        <v>883000</v>
      </c>
    </row>
    <row r="48" spans="1:7" x14ac:dyDescent="0.3">
      <c r="A48" s="5">
        <v>45786</v>
      </c>
      <c r="B48" s="22">
        <v>883000</v>
      </c>
      <c r="C48" s="22">
        <v>895000</v>
      </c>
      <c r="D48" s="22">
        <v>883000</v>
      </c>
      <c r="E48" s="22">
        <v>879000</v>
      </c>
      <c r="F48" s="22">
        <v>887000</v>
      </c>
      <c r="G48" s="23">
        <v>877000</v>
      </c>
    </row>
    <row r="49" spans="1:7" x14ac:dyDescent="0.3">
      <c r="A49" s="7">
        <v>45787</v>
      </c>
      <c r="B49" s="24">
        <v>883000</v>
      </c>
      <c r="C49" s="24">
        <v>895000</v>
      </c>
      <c r="D49" s="24">
        <v>883000</v>
      </c>
      <c r="E49" s="24">
        <v>879000</v>
      </c>
      <c r="F49" s="24">
        <v>887000</v>
      </c>
      <c r="G49" s="25">
        <v>877000</v>
      </c>
    </row>
    <row r="50" spans="1:7" x14ac:dyDescent="0.3">
      <c r="A50" s="5">
        <v>45788</v>
      </c>
      <c r="B50" s="22">
        <v>883000</v>
      </c>
      <c r="C50" s="22">
        <v>895000</v>
      </c>
      <c r="D50" s="22">
        <v>883000</v>
      </c>
      <c r="E50" s="22">
        <v>879000</v>
      </c>
      <c r="F50" s="22">
        <v>887000</v>
      </c>
      <c r="G50" s="23">
        <v>877000</v>
      </c>
    </row>
    <row r="51" spans="1:7" x14ac:dyDescent="0.3">
      <c r="A51" s="5">
        <v>45789</v>
      </c>
      <c r="B51" s="22">
        <v>879000</v>
      </c>
      <c r="C51" s="22">
        <v>841000</v>
      </c>
      <c r="D51" s="22">
        <v>879000</v>
      </c>
      <c r="E51" s="22">
        <v>825000</v>
      </c>
      <c r="F51" s="22">
        <v>877000</v>
      </c>
      <c r="G51" s="23">
        <v>877000</v>
      </c>
    </row>
    <row r="52" spans="1:7" x14ac:dyDescent="0.3">
      <c r="A52" s="5">
        <v>45790</v>
      </c>
      <c r="B52" s="22">
        <v>825000</v>
      </c>
      <c r="C52" s="22">
        <v>819000</v>
      </c>
      <c r="D52" s="22">
        <v>825000</v>
      </c>
      <c r="E52" s="22">
        <v>803000</v>
      </c>
      <c r="F52" s="22">
        <v>827000</v>
      </c>
      <c r="G52" s="23">
        <v>802000</v>
      </c>
    </row>
    <row r="53" spans="1:7" x14ac:dyDescent="0.3">
      <c r="A53" s="5">
        <v>45791</v>
      </c>
      <c r="B53" s="22">
        <v>803000</v>
      </c>
      <c r="C53" s="22">
        <v>835000</v>
      </c>
      <c r="D53" s="22">
        <v>803000</v>
      </c>
      <c r="E53" s="22">
        <v>819000</v>
      </c>
      <c r="F53" s="22">
        <v>802000</v>
      </c>
      <c r="G53" s="23">
        <v>821000</v>
      </c>
    </row>
    <row r="54" spans="1:7" x14ac:dyDescent="0.3">
      <c r="A54" s="7">
        <v>45792</v>
      </c>
      <c r="B54" s="24">
        <v>819000</v>
      </c>
      <c r="C54" s="24">
        <v>839000</v>
      </c>
      <c r="D54" s="24">
        <v>819000</v>
      </c>
      <c r="E54" s="24">
        <v>823000</v>
      </c>
      <c r="F54" s="24">
        <v>821000</v>
      </c>
      <c r="G54" s="25">
        <v>813000</v>
      </c>
    </row>
    <row r="55" spans="1:7" x14ac:dyDescent="0.3">
      <c r="A55" s="5">
        <v>45793</v>
      </c>
      <c r="B55" s="22">
        <v>823000</v>
      </c>
      <c r="C55" s="22">
        <v>854000</v>
      </c>
      <c r="D55" s="22">
        <v>823000</v>
      </c>
      <c r="E55" s="22">
        <v>838000</v>
      </c>
      <c r="F55" s="22">
        <v>813000</v>
      </c>
      <c r="G55" s="23">
        <v>836000</v>
      </c>
    </row>
    <row r="56" spans="1:7" x14ac:dyDescent="0.3">
      <c r="A56" s="5">
        <v>45794</v>
      </c>
      <c r="B56" s="22">
        <v>823000</v>
      </c>
      <c r="C56" s="22">
        <v>854000</v>
      </c>
      <c r="D56" s="22">
        <v>823000</v>
      </c>
      <c r="E56" s="22">
        <v>838000</v>
      </c>
      <c r="F56" s="22">
        <v>813000</v>
      </c>
      <c r="G56" s="23">
        <v>836000</v>
      </c>
    </row>
    <row r="57" spans="1:7" x14ac:dyDescent="0.3">
      <c r="A57" s="5">
        <v>45795</v>
      </c>
      <c r="B57" s="22">
        <v>823000</v>
      </c>
      <c r="C57" s="22">
        <v>854000</v>
      </c>
      <c r="D57" s="22">
        <v>823000</v>
      </c>
      <c r="E57" s="22">
        <v>838000</v>
      </c>
      <c r="F57" s="22">
        <v>813000</v>
      </c>
      <c r="G57" s="23">
        <v>836000</v>
      </c>
    </row>
    <row r="58" spans="1:7" x14ac:dyDescent="0.3">
      <c r="A58" s="5">
        <v>45796</v>
      </c>
      <c r="B58" s="22">
        <v>838000</v>
      </c>
      <c r="C58" s="22">
        <v>849000</v>
      </c>
      <c r="D58" s="22">
        <v>838000</v>
      </c>
      <c r="E58" s="22">
        <v>833000</v>
      </c>
      <c r="F58" s="22">
        <v>836000</v>
      </c>
      <c r="G58" s="23">
        <v>834000</v>
      </c>
    </row>
    <row r="59" spans="1:7" x14ac:dyDescent="0.3">
      <c r="A59" s="7">
        <v>45797</v>
      </c>
      <c r="B59" s="24">
        <v>833000</v>
      </c>
      <c r="C59" s="24">
        <v>834000</v>
      </c>
      <c r="D59" s="24">
        <v>833000</v>
      </c>
      <c r="E59" s="24">
        <v>818000</v>
      </c>
      <c r="F59" s="24">
        <v>834000</v>
      </c>
      <c r="G59" s="25">
        <v>807000</v>
      </c>
    </row>
    <row r="60" spans="1:7" x14ac:dyDescent="0.3">
      <c r="A60" s="5">
        <v>45798</v>
      </c>
      <c r="B60" s="22">
        <v>818000</v>
      </c>
      <c r="C60" s="22">
        <v>862000</v>
      </c>
      <c r="D60" s="22">
        <v>818000</v>
      </c>
      <c r="E60" s="22">
        <v>846000</v>
      </c>
      <c r="F60" s="22">
        <v>807000</v>
      </c>
      <c r="G60" s="23">
        <v>842000</v>
      </c>
    </row>
    <row r="61" spans="1:7" x14ac:dyDescent="0.3">
      <c r="A61" s="5">
        <v>45799</v>
      </c>
      <c r="B61" s="22">
        <v>832000</v>
      </c>
      <c r="C61" s="22">
        <v>846000</v>
      </c>
      <c r="D61" s="22">
        <v>832000</v>
      </c>
      <c r="E61" s="22">
        <v>830000</v>
      </c>
      <c r="F61" s="22">
        <v>828000</v>
      </c>
      <c r="G61" s="23">
        <v>827000</v>
      </c>
    </row>
    <row r="62" spans="1:7" x14ac:dyDescent="0.3">
      <c r="A62" s="5">
        <v>45800</v>
      </c>
      <c r="B62" s="22">
        <v>830000</v>
      </c>
      <c r="C62" s="22">
        <v>846000</v>
      </c>
      <c r="D62" s="22">
        <v>830000</v>
      </c>
      <c r="E62" s="22">
        <v>830000</v>
      </c>
      <c r="F62" s="22">
        <v>827000</v>
      </c>
      <c r="G62" s="23">
        <v>823000</v>
      </c>
    </row>
    <row r="63" spans="1:7" x14ac:dyDescent="0.3">
      <c r="A63" s="5">
        <v>45801</v>
      </c>
      <c r="B63" s="22">
        <v>830000</v>
      </c>
      <c r="C63" s="22">
        <v>846000</v>
      </c>
      <c r="D63" s="22">
        <v>830000</v>
      </c>
      <c r="E63" s="22">
        <v>830000</v>
      </c>
      <c r="F63" s="22">
        <v>827000</v>
      </c>
      <c r="G63" s="23">
        <v>823000</v>
      </c>
    </row>
    <row r="64" spans="1:7" x14ac:dyDescent="0.3">
      <c r="A64" s="7">
        <v>45802</v>
      </c>
      <c r="B64" s="24">
        <v>830000</v>
      </c>
      <c r="C64" s="24">
        <v>846000</v>
      </c>
      <c r="D64" s="24">
        <v>830000</v>
      </c>
      <c r="E64" s="24">
        <v>830000</v>
      </c>
      <c r="F64" s="24">
        <v>827000</v>
      </c>
      <c r="G64" s="25">
        <v>823000</v>
      </c>
    </row>
    <row r="65" spans="1:7" x14ac:dyDescent="0.3">
      <c r="A65" s="5">
        <v>45803</v>
      </c>
      <c r="B65" s="22">
        <v>830000</v>
      </c>
      <c r="C65" s="22">
        <v>846000</v>
      </c>
      <c r="D65" s="22">
        <v>830000</v>
      </c>
      <c r="E65" s="22">
        <v>830000</v>
      </c>
      <c r="F65" s="22">
        <v>823000</v>
      </c>
      <c r="G65" s="23">
        <v>822000</v>
      </c>
    </row>
    <row r="66" spans="1:7" x14ac:dyDescent="0.3">
      <c r="A66" s="5">
        <v>45804</v>
      </c>
      <c r="B66" s="22">
        <v>830000</v>
      </c>
      <c r="C66" s="22">
        <v>903000</v>
      </c>
      <c r="D66" s="22">
        <v>830000</v>
      </c>
      <c r="E66" s="22">
        <v>887000</v>
      </c>
      <c r="F66" s="22">
        <v>822000</v>
      </c>
      <c r="G66" s="23">
        <v>882000</v>
      </c>
    </row>
    <row r="67" spans="1:7" x14ac:dyDescent="0.3">
      <c r="A67" s="5">
        <v>45805</v>
      </c>
      <c r="B67" s="22">
        <v>887000</v>
      </c>
      <c r="C67" s="22">
        <v>847000</v>
      </c>
      <c r="D67" s="22">
        <v>887000</v>
      </c>
      <c r="E67" s="22">
        <v>831000</v>
      </c>
      <c r="F67" s="22">
        <v>882000</v>
      </c>
      <c r="G67" s="23">
        <v>828000</v>
      </c>
    </row>
    <row r="68" spans="1:7" x14ac:dyDescent="0.3">
      <c r="A68" s="5">
        <v>45806</v>
      </c>
      <c r="B68" s="22">
        <v>831000</v>
      </c>
      <c r="C68" s="22">
        <v>870000</v>
      </c>
      <c r="D68" s="22">
        <v>831000</v>
      </c>
      <c r="E68" s="22">
        <v>854000</v>
      </c>
      <c r="F68" s="22">
        <v>828000</v>
      </c>
      <c r="G68" s="23">
        <v>854000</v>
      </c>
    </row>
    <row r="69" spans="1:7" x14ac:dyDescent="0.3">
      <c r="A69" s="7">
        <v>45807</v>
      </c>
      <c r="B69" s="24">
        <v>854000</v>
      </c>
      <c r="C69" s="24">
        <v>829000</v>
      </c>
      <c r="D69" s="24">
        <v>854000</v>
      </c>
      <c r="E69" s="24">
        <v>813000</v>
      </c>
      <c r="F69" s="24">
        <v>854000</v>
      </c>
      <c r="G69" s="25">
        <v>812000</v>
      </c>
    </row>
    <row r="70" spans="1:7" x14ac:dyDescent="0.3">
      <c r="A70" s="5">
        <v>45808</v>
      </c>
      <c r="B70" s="22">
        <v>854000</v>
      </c>
      <c r="C70" s="22">
        <v>829000</v>
      </c>
      <c r="D70" s="22">
        <v>854000</v>
      </c>
      <c r="E70" s="22">
        <v>813000</v>
      </c>
      <c r="F70" s="22">
        <v>854000</v>
      </c>
      <c r="G70" s="23">
        <v>812000</v>
      </c>
    </row>
    <row r="71" spans="1:7" x14ac:dyDescent="0.3">
      <c r="A71" s="5">
        <v>45809</v>
      </c>
      <c r="B71" s="22">
        <v>854000</v>
      </c>
      <c r="C71" s="22">
        <v>829000</v>
      </c>
      <c r="D71" s="22">
        <v>854000</v>
      </c>
      <c r="E71" s="22">
        <v>813000</v>
      </c>
      <c r="F71" s="22">
        <v>854000</v>
      </c>
      <c r="G71" s="23">
        <v>812000</v>
      </c>
    </row>
    <row r="72" spans="1:7" x14ac:dyDescent="0.3">
      <c r="A72" s="5">
        <v>45810</v>
      </c>
      <c r="B72" s="22">
        <v>813000</v>
      </c>
      <c r="C72" s="22">
        <v>849000</v>
      </c>
      <c r="D72" s="22">
        <v>813000</v>
      </c>
      <c r="E72" s="22">
        <v>833000</v>
      </c>
      <c r="F72" s="22">
        <v>812000</v>
      </c>
      <c r="G72" s="23">
        <v>831000</v>
      </c>
    </row>
    <row r="73" spans="1:7" x14ac:dyDescent="0.3">
      <c r="A73" s="5">
        <v>45811</v>
      </c>
      <c r="B73" s="22">
        <v>813000</v>
      </c>
      <c r="C73" s="22">
        <v>849000</v>
      </c>
      <c r="D73" s="22">
        <v>813000</v>
      </c>
      <c r="E73" s="22">
        <v>833000</v>
      </c>
      <c r="F73" s="22">
        <v>812000</v>
      </c>
      <c r="G73" s="23">
        <v>831000</v>
      </c>
    </row>
    <row r="74" spans="1:7" x14ac:dyDescent="0.3">
      <c r="A74" s="7">
        <v>45812</v>
      </c>
      <c r="B74" s="24">
        <v>833000</v>
      </c>
      <c r="C74" s="24">
        <v>858000</v>
      </c>
      <c r="D74" s="24">
        <v>833000</v>
      </c>
      <c r="E74" s="24">
        <v>842000</v>
      </c>
      <c r="F74" s="24">
        <v>831000</v>
      </c>
      <c r="G74" s="25">
        <v>841000</v>
      </c>
    </row>
    <row r="75" spans="1:7" x14ac:dyDescent="0.3">
      <c r="A75" s="5">
        <v>45813</v>
      </c>
      <c r="B75" s="22">
        <v>842000</v>
      </c>
      <c r="C75" s="22">
        <v>918000</v>
      </c>
      <c r="D75" s="22">
        <v>842000</v>
      </c>
      <c r="E75" s="22">
        <v>902000</v>
      </c>
      <c r="F75" s="22">
        <v>841000</v>
      </c>
      <c r="G75" s="23">
        <v>896000</v>
      </c>
    </row>
    <row r="76" spans="1:7" x14ac:dyDescent="0.3">
      <c r="A76" s="5">
        <v>45814</v>
      </c>
      <c r="B76" s="22">
        <v>842000</v>
      </c>
      <c r="C76" s="22">
        <v>918000</v>
      </c>
      <c r="D76" s="22">
        <v>842000</v>
      </c>
      <c r="E76" s="22">
        <v>902000</v>
      </c>
      <c r="F76" s="22">
        <v>841000</v>
      </c>
      <c r="G76" s="23">
        <v>896000</v>
      </c>
    </row>
    <row r="77" spans="1:7" x14ac:dyDescent="0.3">
      <c r="A77" s="5">
        <v>45815</v>
      </c>
      <c r="B77" s="22">
        <v>842000</v>
      </c>
      <c r="C77" s="22">
        <v>918000</v>
      </c>
      <c r="D77" s="22">
        <v>842000</v>
      </c>
      <c r="E77" s="22">
        <v>902000</v>
      </c>
      <c r="F77" s="22">
        <v>841000</v>
      </c>
      <c r="G77" s="23">
        <v>896000</v>
      </c>
    </row>
    <row r="78" spans="1:7" x14ac:dyDescent="0.3">
      <c r="A78" s="5">
        <v>45816</v>
      </c>
      <c r="B78" s="22">
        <v>842000</v>
      </c>
      <c r="C78" s="22">
        <v>918000</v>
      </c>
      <c r="D78" s="22">
        <v>842000</v>
      </c>
      <c r="E78" s="22">
        <v>902000</v>
      </c>
      <c r="F78" s="22">
        <v>841000</v>
      </c>
      <c r="G78" s="23">
        <v>896000</v>
      </c>
    </row>
    <row r="79" spans="1:7" x14ac:dyDescent="0.3">
      <c r="A79" s="7">
        <v>45817</v>
      </c>
      <c r="B79" s="24">
        <v>902000</v>
      </c>
      <c r="C79" s="24">
        <v>892000</v>
      </c>
      <c r="D79" s="24">
        <v>902000</v>
      </c>
      <c r="E79" s="24">
        <v>876000</v>
      </c>
      <c r="F79" s="24">
        <v>896000</v>
      </c>
      <c r="G79" s="25">
        <v>875000</v>
      </c>
    </row>
    <row r="80" spans="1:7" x14ac:dyDescent="0.3">
      <c r="A80" s="5">
        <v>45818</v>
      </c>
      <c r="B80" s="22">
        <v>876000</v>
      </c>
      <c r="C80" s="22">
        <v>949000</v>
      </c>
      <c r="D80" s="22">
        <v>876000</v>
      </c>
      <c r="E80" s="22">
        <v>933000</v>
      </c>
      <c r="F80" s="22">
        <v>875000</v>
      </c>
      <c r="G80" s="23">
        <v>930000</v>
      </c>
    </row>
    <row r="81" spans="1:7" x14ac:dyDescent="0.3">
      <c r="A81" s="5">
        <v>45819</v>
      </c>
      <c r="B81" s="22">
        <v>933000</v>
      </c>
      <c r="C81" s="22">
        <v>921000</v>
      </c>
      <c r="D81" s="22">
        <v>933000</v>
      </c>
      <c r="E81" s="22">
        <v>905000</v>
      </c>
      <c r="F81" s="22">
        <v>930000</v>
      </c>
      <c r="G81" s="23">
        <v>901000</v>
      </c>
    </row>
    <row r="82" spans="1:7" x14ac:dyDescent="0.3">
      <c r="A82" s="5">
        <v>45820</v>
      </c>
      <c r="B82" s="22">
        <v>905000</v>
      </c>
      <c r="C82" s="22">
        <v>966000</v>
      </c>
      <c r="D82" s="22">
        <v>905000</v>
      </c>
      <c r="E82" s="22">
        <v>950000</v>
      </c>
      <c r="F82" s="22">
        <v>901000</v>
      </c>
      <c r="G82" s="23">
        <v>941000</v>
      </c>
    </row>
    <row r="83" spans="1:7" x14ac:dyDescent="0.3">
      <c r="A83" s="5">
        <v>45821</v>
      </c>
      <c r="B83" s="22">
        <v>941000</v>
      </c>
      <c r="C83" s="22">
        <v>968000</v>
      </c>
      <c r="D83" s="22">
        <v>941000</v>
      </c>
      <c r="E83" s="22">
        <v>943000</v>
      </c>
      <c r="F83" s="22">
        <v>943000</v>
      </c>
      <c r="G83" s="23">
        <v>946000</v>
      </c>
    </row>
    <row r="84" spans="1:7" x14ac:dyDescent="0.3">
      <c r="A84" s="7">
        <v>45822</v>
      </c>
      <c r="B84" s="24">
        <v>941000</v>
      </c>
      <c r="C84" s="24">
        <v>968000</v>
      </c>
      <c r="D84" s="24">
        <v>941000</v>
      </c>
      <c r="E84" s="24">
        <v>943000</v>
      </c>
      <c r="F84" s="24">
        <v>943000</v>
      </c>
      <c r="G84" s="25">
        <v>946000</v>
      </c>
    </row>
    <row r="85" spans="1:7" x14ac:dyDescent="0.3">
      <c r="A85" s="5">
        <v>45823</v>
      </c>
      <c r="B85" s="22">
        <v>941000</v>
      </c>
      <c r="C85" s="22">
        <v>968000</v>
      </c>
      <c r="D85" s="22">
        <v>941000</v>
      </c>
      <c r="E85" s="22">
        <v>943000</v>
      </c>
      <c r="F85" s="22">
        <v>943000</v>
      </c>
      <c r="G85" s="23">
        <v>946000</v>
      </c>
    </row>
    <row r="86" spans="1:7" x14ac:dyDescent="0.3">
      <c r="A86" s="5">
        <v>45824</v>
      </c>
      <c r="B86" s="22">
        <v>943000</v>
      </c>
      <c r="C86" s="22">
        <v>988000</v>
      </c>
      <c r="D86" s="22">
        <v>943000</v>
      </c>
      <c r="E86" s="22">
        <v>963000</v>
      </c>
      <c r="F86" s="22">
        <v>946000</v>
      </c>
      <c r="G86" s="23">
        <v>962000</v>
      </c>
    </row>
    <row r="87" spans="1:7" x14ac:dyDescent="0.3">
      <c r="A87" s="5">
        <v>45825</v>
      </c>
      <c r="B87" s="22">
        <v>963000</v>
      </c>
      <c r="C87" s="22">
        <v>971000</v>
      </c>
      <c r="D87" s="22">
        <v>963000</v>
      </c>
      <c r="E87" s="22">
        <v>946000</v>
      </c>
      <c r="F87" s="22">
        <v>962000</v>
      </c>
      <c r="G87" s="23">
        <v>954000</v>
      </c>
    </row>
    <row r="88" spans="1:7" x14ac:dyDescent="0.3">
      <c r="A88" s="5">
        <v>45826</v>
      </c>
      <c r="B88" s="22">
        <v>946000</v>
      </c>
      <c r="C88" s="22">
        <v>947000</v>
      </c>
      <c r="D88" s="22">
        <v>946000</v>
      </c>
      <c r="E88" s="22">
        <v>922000</v>
      </c>
      <c r="F88" s="22">
        <v>954000</v>
      </c>
      <c r="G88" s="23">
        <v>921000</v>
      </c>
    </row>
    <row r="89" spans="1:7" x14ac:dyDescent="0.3">
      <c r="A89" s="7">
        <v>45827</v>
      </c>
      <c r="B89" s="24">
        <v>922000</v>
      </c>
      <c r="C89" s="24">
        <v>955000</v>
      </c>
      <c r="D89" s="24">
        <v>922000</v>
      </c>
      <c r="E89" s="24">
        <v>930000</v>
      </c>
      <c r="F89" s="24">
        <v>921000</v>
      </c>
      <c r="G89" s="25">
        <v>932000</v>
      </c>
    </row>
    <row r="90" spans="1:7" x14ac:dyDescent="0.3">
      <c r="A90" s="5">
        <v>45828</v>
      </c>
      <c r="B90" s="22">
        <v>930000</v>
      </c>
      <c r="C90" s="22">
        <v>963000</v>
      </c>
      <c r="D90" s="22">
        <v>930000</v>
      </c>
      <c r="E90" s="22">
        <v>938000</v>
      </c>
      <c r="F90" s="22">
        <v>932000</v>
      </c>
      <c r="G90" s="23">
        <v>938000</v>
      </c>
    </row>
    <row r="91" spans="1:7" x14ac:dyDescent="0.3">
      <c r="A91" s="5">
        <v>45829</v>
      </c>
      <c r="B91" s="22">
        <v>930000</v>
      </c>
      <c r="C91" s="22">
        <v>963000</v>
      </c>
      <c r="D91" s="22">
        <v>930000</v>
      </c>
      <c r="E91" s="22">
        <v>938000</v>
      </c>
      <c r="F91" s="22">
        <v>932000</v>
      </c>
      <c r="G91" s="23">
        <v>938000</v>
      </c>
    </row>
    <row r="92" spans="1:7" x14ac:dyDescent="0.3">
      <c r="A92" s="5">
        <v>45830</v>
      </c>
      <c r="B92" s="22">
        <v>930000</v>
      </c>
      <c r="C92" s="22">
        <v>963000</v>
      </c>
      <c r="D92" s="22">
        <v>930000</v>
      </c>
      <c r="E92" s="22">
        <v>938000</v>
      </c>
      <c r="F92" s="22">
        <v>932000</v>
      </c>
      <c r="G92" s="23">
        <v>938000</v>
      </c>
    </row>
    <row r="93" spans="1:7" x14ac:dyDescent="0.3">
      <c r="A93" s="5">
        <v>45831</v>
      </c>
      <c r="B93" s="22">
        <v>938000</v>
      </c>
      <c r="C93" s="22">
        <v>947000</v>
      </c>
      <c r="D93" s="22">
        <v>938000</v>
      </c>
      <c r="E93" s="22">
        <v>922000</v>
      </c>
      <c r="F93" s="22">
        <v>938000</v>
      </c>
      <c r="G93" s="23">
        <v>921000</v>
      </c>
    </row>
    <row r="94" spans="1:7" x14ac:dyDescent="0.3">
      <c r="A94" s="7">
        <v>45832</v>
      </c>
      <c r="B94" s="24">
        <v>922000</v>
      </c>
      <c r="C94" s="24">
        <v>919000</v>
      </c>
      <c r="D94" s="24">
        <v>922000</v>
      </c>
      <c r="E94" s="24">
        <v>894000</v>
      </c>
      <c r="F94" s="24">
        <v>921000</v>
      </c>
      <c r="G94" s="25">
        <v>905000</v>
      </c>
    </row>
    <row r="95" spans="1:7" x14ac:dyDescent="0.3">
      <c r="A95" s="5">
        <v>45833</v>
      </c>
      <c r="B95" s="22">
        <v>894000</v>
      </c>
      <c r="C95" s="22">
        <v>883000</v>
      </c>
      <c r="D95" s="22">
        <v>894000</v>
      </c>
      <c r="E95" s="22">
        <v>858000</v>
      </c>
      <c r="F95" s="22">
        <v>905000</v>
      </c>
      <c r="G95" s="23">
        <v>859000</v>
      </c>
    </row>
    <row r="96" spans="1:7" x14ac:dyDescent="0.3">
      <c r="A96" s="5">
        <v>45834</v>
      </c>
      <c r="B96" s="22">
        <v>858000</v>
      </c>
      <c r="C96" s="22">
        <v>901000</v>
      </c>
      <c r="D96" s="22">
        <v>858000</v>
      </c>
      <c r="E96" s="22">
        <v>876000</v>
      </c>
      <c r="F96" s="22">
        <v>859000</v>
      </c>
      <c r="G96" s="23">
        <v>895000</v>
      </c>
    </row>
    <row r="97" spans="1:7" x14ac:dyDescent="0.3">
      <c r="A97" s="5">
        <v>45835</v>
      </c>
      <c r="B97" s="22">
        <v>876000</v>
      </c>
      <c r="C97" s="22">
        <v>916000</v>
      </c>
      <c r="D97" s="22">
        <v>876000</v>
      </c>
      <c r="E97" s="22">
        <v>891000</v>
      </c>
      <c r="F97" s="22">
        <v>895000</v>
      </c>
      <c r="G97" s="23">
        <v>904000</v>
      </c>
    </row>
    <row r="98" spans="1:7" x14ac:dyDescent="0.3">
      <c r="A98" s="5">
        <v>45836</v>
      </c>
      <c r="B98" s="22">
        <v>876000</v>
      </c>
      <c r="C98" s="22">
        <v>916000</v>
      </c>
      <c r="D98" s="22">
        <v>876000</v>
      </c>
      <c r="E98" s="22">
        <v>891000</v>
      </c>
      <c r="F98" s="22">
        <v>895000</v>
      </c>
      <c r="G98" s="23">
        <v>904000</v>
      </c>
    </row>
    <row r="99" spans="1:7" x14ac:dyDescent="0.3">
      <c r="A99" s="7">
        <v>45837</v>
      </c>
      <c r="B99" s="24">
        <v>876000</v>
      </c>
      <c r="C99" s="24">
        <v>916000</v>
      </c>
      <c r="D99" s="24">
        <v>876000</v>
      </c>
      <c r="E99" s="24">
        <v>891000</v>
      </c>
      <c r="F99" s="24">
        <v>895000</v>
      </c>
      <c r="G99" s="25">
        <v>904000</v>
      </c>
    </row>
    <row r="100" spans="1:7" x14ac:dyDescent="0.3">
      <c r="A100" s="5">
        <v>45838</v>
      </c>
      <c r="B100" s="22">
        <v>891000</v>
      </c>
      <c r="C100" s="22">
        <v>879000</v>
      </c>
      <c r="D100" s="22">
        <v>891000</v>
      </c>
      <c r="E100" s="22">
        <v>854000</v>
      </c>
      <c r="F100" s="22">
        <v>904000</v>
      </c>
      <c r="G100" s="23">
        <v>855000</v>
      </c>
    </row>
    <row r="101" spans="1:7" x14ac:dyDescent="0.3">
      <c r="A101" s="5">
        <v>45839</v>
      </c>
      <c r="B101" s="22">
        <v>854000</v>
      </c>
      <c r="C101" s="22">
        <v>867000</v>
      </c>
      <c r="D101" s="22">
        <v>854000</v>
      </c>
      <c r="E101" s="22">
        <v>842000</v>
      </c>
      <c r="F101" s="22">
        <v>855000</v>
      </c>
      <c r="G101" s="23">
        <v>842000</v>
      </c>
    </row>
    <row r="102" spans="1:7" x14ac:dyDescent="0.3">
      <c r="A102" s="5">
        <v>45840</v>
      </c>
      <c r="B102" s="22">
        <v>842000</v>
      </c>
      <c r="C102" s="22">
        <v>845000</v>
      </c>
      <c r="D102" s="22">
        <v>842000</v>
      </c>
      <c r="E102" s="22">
        <v>820000</v>
      </c>
      <c r="F102" s="22">
        <v>842000</v>
      </c>
      <c r="G102" s="23">
        <v>821000</v>
      </c>
    </row>
    <row r="103" spans="1:7" x14ac:dyDescent="0.3">
      <c r="A103" s="5">
        <v>45841</v>
      </c>
      <c r="B103" s="22">
        <v>820000</v>
      </c>
      <c r="C103" s="22">
        <v>846000</v>
      </c>
      <c r="D103" s="22">
        <v>820000</v>
      </c>
      <c r="E103" s="22">
        <v>821000</v>
      </c>
      <c r="F103" s="22">
        <v>821000</v>
      </c>
      <c r="G103" s="23">
        <v>822000</v>
      </c>
    </row>
    <row r="104" spans="1:7" x14ac:dyDescent="0.3">
      <c r="A104" s="7">
        <v>45842</v>
      </c>
      <c r="B104" s="24">
        <v>821000</v>
      </c>
      <c r="C104" s="24">
        <v>809000</v>
      </c>
      <c r="D104" s="24">
        <v>821000</v>
      </c>
      <c r="E104" s="24">
        <v>784000</v>
      </c>
      <c r="F104" s="24">
        <v>822000</v>
      </c>
      <c r="G104" s="25">
        <v>784000</v>
      </c>
    </row>
    <row r="105" spans="1:7" x14ac:dyDescent="0.3">
      <c r="A105" s="5">
        <v>45843</v>
      </c>
      <c r="B105" s="22">
        <v>821000</v>
      </c>
      <c r="C105" s="22">
        <v>809000</v>
      </c>
      <c r="D105" s="22">
        <v>821000</v>
      </c>
      <c r="E105" s="22">
        <v>784000</v>
      </c>
      <c r="F105" s="22">
        <v>822000</v>
      </c>
      <c r="G105" s="23">
        <v>784000</v>
      </c>
    </row>
    <row r="106" spans="1:7" x14ac:dyDescent="0.3">
      <c r="A106" s="5">
        <v>45844</v>
      </c>
      <c r="B106" s="22">
        <v>821000</v>
      </c>
      <c r="C106" s="22">
        <v>809000</v>
      </c>
      <c r="D106" s="22">
        <v>821000</v>
      </c>
      <c r="E106" s="22">
        <v>784000</v>
      </c>
      <c r="F106" s="22">
        <v>822000</v>
      </c>
      <c r="G106" s="23">
        <v>784000</v>
      </c>
    </row>
    <row r="107" spans="1:7" x14ac:dyDescent="0.3">
      <c r="A107" s="5">
        <v>45845</v>
      </c>
      <c r="B107" s="22">
        <v>784000</v>
      </c>
      <c r="C107" s="22">
        <v>832000</v>
      </c>
      <c r="D107" s="22">
        <v>784000</v>
      </c>
      <c r="E107" s="22">
        <v>807000</v>
      </c>
      <c r="F107" s="22">
        <v>784000</v>
      </c>
      <c r="G107" s="23">
        <v>806000</v>
      </c>
    </row>
    <row r="108" spans="1:7" x14ac:dyDescent="0.3">
      <c r="A108" s="5">
        <v>45846</v>
      </c>
      <c r="B108" s="22">
        <v>807000</v>
      </c>
      <c r="C108" s="22">
        <v>841000</v>
      </c>
      <c r="D108" s="22">
        <v>807000</v>
      </c>
      <c r="E108" s="22">
        <v>816000</v>
      </c>
      <c r="F108" s="22">
        <v>806000</v>
      </c>
      <c r="G108" s="23">
        <v>815000</v>
      </c>
    </row>
    <row r="109" spans="1:7" x14ac:dyDescent="0.3">
      <c r="A109" s="7">
        <v>45847</v>
      </c>
      <c r="B109" s="24">
        <v>816000</v>
      </c>
      <c r="C109" s="24">
        <v>874000</v>
      </c>
      <c r="D109" s="24">
        <v>816000</v>
      </c>
      <c r="E109" s="24">
        <v>849000</v>
      </c>
      <c r="F109" s="24">
        <v>815000</v>
      </c>
      <c r="G109" s="25">
        <v>850000</v>
      </c>
    </row>
    <row r="110" spans="1:7" x14ac:dyDescent="0.3">
      <c r="A110" s="5">
        <v>45848</v>
      </c>
      <c r="B110" s="22">
        <v>849000</v>
      </c>
      <c r="C110" s="22">
        <v>877000</v>
      </c>
      <c r="D110" s="22">
        <v>849000</v>
      </c>
      <c r="E110" s="22">
        <v>852000</v>
      </c>
      <c r="F110" s="22">
        <v>850000</v>
      </c>
      <c r="G110" s="23">
        <v>850000</v>
      </c>
    </row>
    <row r="111" spans="1:7" x14ac:dyDescent="0.3">
      <c r="A111" s="5">
        <v>45849</v>
      </c>
      <c r="B111" s="22">
        <v>850000</v>
      </c>
      <c r="C111" s="22">
        <v>834000</v>
      </c>
      <c r="D111" s="22">
        <v>850000</v>
      </c>
      <c r="E111" s="22">
        <v>807000</v>
      </c>
      <c r="F111" s="22">
        <v>848000</v>
      </c>
      <c r="G111" s="23">
        <v>805000</v>
      </c>
    </row>
    <row r="112" spans="1:7" x14ac:dyDescent="0.3">
      <c r="A112" s="5">
        <v>45850</v>
      </c>
      <c r="B112" s="22">
        <v>850000</v>
      </c>
      <c r="C112" s="22">
        <v>834000</v>
      </c>
      <c r="D112" s="22">
        <v>850000</v>
      </c>
      <c r="E112" s="22">
        <v>807000</v>
      </c>
      <c r="F112" s="22">
        <v>848000</v>
      </c>
      <c r="G112" s="23">
        <v>805000</v>
      </c>
    </row>
    <row r="113" spans="1:7" x14ac:dyDescent="0.3">
      <c r="A113" s="5">
        <v>45851</v>
      </c>
      <c r="B113" s="22">
        <v>850000</v>
      </c>
      <c r="C113" s="22">
        <v>834000</v>
      </c>
      <c r="D113" s="22">
        <v>850000</v>
      </c>
      <c r="E113" s="22">
        <v>807000</v>
      </c>
      <c r="F113" s="22">
        <v>848000</v>
      </c>
      <c r="G113" s="23">
        <v>805000</v>
      </c>
    </row>
    <row r="114" spans="1:7" x14ac:dyDescent="0.3">
      <c r="A114" s="7">
        <v>45852</v>
      </c>
      <c r="B114" s="24">
        <v>807000</v>
      </c>
      <c r="C114" s="24">
        <v>831000</v>
      </c>
      <c r="D114" s="24">
        <v>807000</v>
      </c>
      <c r="E114" s="24">
        <v>804000</v>
      </c>
      <c r="F114" s="24">
        <v>805000</v>
      </c>
      <c r="G114" s="25">
        <v>805000</v>
      </c>
    </row>
    <row r="115" spans="1:7" x14ac:dyDescent="0.3">
      <c r="A115" s="5">
        <v>45853</v>
      </c>
      <c r="B115" s="22">
        <v>804000</v>
      </c>
      <c r="C115" s="22">
        <v>873000</v>
      </c>
      <c r="D115" s="22">
        <v>804000</v>
      </c>
      <c r="E115" s="22">
        <v>846000</v>
      </c>
      <c r="F115" s="22">
        <v>806000</v>
      </c>
      <c r="G115" s="23">
        <v>816000</v>
      </c>
    </row>
    <row r="116" spans="1:7" x14ac:dyDescent="0.3">
      <c r="A116" s="5">
        <v>45854</v>
      </c>
      <c r="B116" s="22">
        <v>846000</v>
      </c>
      <c r="C116" s="22">
        <v>880000</v>
      </c>
      <c r="D116" s="22">
        <v>846000</v>
      </c>
      <c r="E116" s="22">
        <v>853000</v>
      </c>
      <c r="F116" s="22">
        <v>816000</v>
      </c>
      <c r="G116" s="23">
        <v>850000</v>
      </c>
    </row>
    <row r="117" spans="1:7" x14ac:dyDescent="0.3">
      <c r="A117" s="5">
        <v>45855</v>
      </c>
      <c r="B117" s="22">
        <v>853000</v>
      </c>
      <c r="C117" s="22">
        <v>925000</v>
      </c>
      <c r="D117" s="22">
        <v>853000</v>
      </c>
      <c r="E117" s="22">
        <v>898000</v>
      </c>
      <c r="F117" s="22">
        <v>850000</v>
      </c>
      <c r="G117" s="23">
        <v>900000</v>
      </c>
    </row>
    <row r="118" spans="1:7" x14ac:dyDescent="0.3">
      <c r="A118" s="5">
        <v>45856</v>
      </c>
      <c r="B118" s="22">
        <v>898000</v>
      </c>
      <c r="C118" s="22">
        <v>927000</v>
      </c>
      <c r="D118" s="22">
        <v>898000</v>
      </c>
      <c r="E118" s="22">
        <v>900000</v>
      </c>
      <c r="F118" s="22">
        <v>900000</v>
      </c>
      <c r="G118" s="23">
        <v>900000</v>
      </c>
    </row>
    <row r="119" spans="1:7" x14ac:dyDescent="0.3">
      <c r="A119" s="7">
        <v>45857</v>
      </c>
      <c r="B119" s="24">
        <v>898000</v>
      </c>
      <c r="C119" s="24">
        <v>927000</v>
      </c>
      <c r="D119" s="24">
        <v>898000</v>
      </c>
      <c r="E119" s="24">
        <v>900000</v>
      </c>
      <c r="F119" s="24">
        <v>900000</v>
      </c>
      <c r="G119" s="25">
        <v>900000</v>
      </c>
    </row>
    <row r="120" spans="1:7" x14ac:dyDescent="0.3">
      <c r="A120" s="5">
        <v>45858</v>
      </c>
      <c r="B120" s="22">
        <v>898000</v>
      </c>
      <c r="C120" s="22">
        <v>927000</v>
      </c>
      <c r="D120" s="22">
        <v>898000</v>
      </c>
      <c r="E120" s="22">
        <v>900000</v>
      </c>
      <c r="F120" s="22">
        <v>900000</v>
      </c>
      <c r="G120" s="23">
        <v>900000</v>
      </c>
    </row>
    <row r="121" spans="1:7" x14ac:dyDescent="0.3">
      <c r="A121" s="5">
        <v>45859</v>
      </c>
      <c r="B121" s="22">
        <v>900000</v>
      </c>
      <c r="C121" s="22">
        <v>944000</v>
      </c>
      <c r="D121" s="22">
        <v>900000</v>
      </c>
      <c r="E121" s="22">
        <v>917000</v>
      </c>
      <c r="F121" s="22">
        <v>902000</v>
      </c>
      <c r="G121" s="23">
        <v>911000</v>
      </c>
    </row>
    <row r="122" spans="1:7" x14ac:dyDescent="0.3">
      <c r="A122" s="5">
        <v>45860</v>
      </c>
      <c r="B122" s="22">
        <v>917000</v>
      </c>
      <c r="C122" s="22">
        <v>949000</v>
      </c>
      <c r="D122" s="22">
        <v>917000</v>
      </c>
      <c r="E122" s="22">
        <v>922000</v>
      </c>
      <c r="F122" s="22">
        <v>911000</v>
      </c>
      <c r="G122" s="23">
        <v>917000</v>
      </c>
    </row>
    <row r="123" spans="1:7" x14ac:dyDescent="0.3">
      <c r="A123" s="5">
        <v>45861</v>
      </c>
      <c r="B123" s="22">
        <v>922000</v>
      </c>
      <c r="C123" s="22">
        <v>939000</v>
      </c>
      <c r="D123" s="22">
        <v>922000</v>
      </c>
      <c r="E123" s="22">
        <v>912000</v>
      </c>
      <c r="F123" s="22">
        <v>917000</v>
      </c>
      <c r="G123" s="23">
        <v>917000</v>
      </c>
    </row>
    <row r="124" spans="1:7" x14ac:dyDescent="0.3">
      <c r="A124" s="7">
        <v>45862</v>
      </c>
      <c r="B124" s="24">
        <v>912000</v>
      </c>
      <c r="C124" s="24">
        <v>967000</v>
      </c>
      <c r="D124" s="24">
        <v>912000</v>
      </c>
      <c r="E124" s="24">
        <v>940000</v>
      </c>
      <c r="F124" s="24">
        <v>914000</v>
      </c>
      <c r="G124" s="25">
        <v>943000</v>
      </c>
    </row>
    <row r="125" spans="1:7" x14ac:dyDescent="0.3">
      <c r="A125" s="5">
        <v>45863</v>
      </c>
      <c r="B125" s="22">
        <v>940000</v>
      </c>
      <c r="C125" s="22">
        <v>972000</v>
      </c>
      <c r="D125" s="22">
        <v>940000</v>
      </c>
      <c r="E125" s="22">
        <v>945000</v>
      </c>
      <c r="F125" s="22">
        <v>943000</v>
      </c>
      <c r="G125" s="23">
        <v>946000</v>
      </c>
    </row>
    <row r="126" spans="1:7" x14ac:dyDescent="0.3">
      <c r="A126" s="5">
        <v>45864</v>
      </c>
      <c r="B126" s="22">
        <v>940000</v>
      </c>
      <c r="C126" s="22">
        <v>972000</v>
      </c>
      <c r="D126" s="22">
        <v>940000</v>
      </c>
      <c r="E126" s="22">
        <v>945000</v>
      </c>
      <c r="F126" s="22">
        <v>943000</v>
      </c>
      <c r="G126" s="23">
        <v>946000</v>
      </c>
    </row>
    <row r="127" spans="1:7" x14ac:dyDescent="0.3">
      <c r="A127" s="5">
        <v>45865</v>
      </c>
      <c r="B127" s="22">
        <v>940000</v>
      </c>
      <c r="C127" s="22">
        <v>972000</v>
      </c>
      <c r="D127" s="22">
        <v>940000</v>
      </c>
      <c r="E127" s="22">
        <v>945000</v>
      </c>
      <c r="F127" s="22">
        <v>943000</v>
      </c>
      <c r="G127" s="23">
        <v>946000</v>
      </c>
    </row>
    <row r="128" spans="1:7" x14ac:dyDescent="0.3">
      <c r="A128" s="5">
        <v>45866</v>
      </c>
      <c r="B128" s="22">
        <v>945000</v>
      </c>
      <c r="C128" s="22">
        <v>982000</v>
      </c>
      <c r="D128" s="22">
        <v>945000</v>
      </c>
      <c r="E128" s="22">
        <v>955000</v>
      </c>
      <c r="F128" s="22">
        <v>946000</v>
      </c>
      <c r="G128" s="23">
        <v>946000</v>
      </c>
    </row>
    <row r="129" spans="1:7" x14ac:dyDescent="0.3">
      <c r="A129" s="7">
        <v>45867</v>
      </c>
      <c r="B129" s="24">
        <v>955000</v>
      </c>
      <c r="C129" s="24">
        <v>1024000</v>
      </c>
      <c r="D129" s="24">
        <v>955000</v>
      </c>
      <c r="E129" s="24">
        <v>997000</v>
      </c>
      <c r="F129" s="24">
        <v>957000</v>
      </c>
      <c r="G129" s="25">
        <v>991000</v>
      </c>
    </row>
    <row r="130" spans="1:7" x14ac:dyDescent="0.3">
      <c r="A130" s="5">
        <v>45868</v>
      </c>
      <c r="B130" s="22">
        <v>997000</v>
      </c>
      <c r="C130" s="22">
        <v>1008000</v>
      </c>
      <c r="D130" s="22">
        <v>997000</v>
      </c>
      <c r="E130" s="22">
        <v>981000</v>
      </c>
      <c r="F130" s="22">
        <v>991000</v>
      </c>
      <c r="G130" s="23">
        <v>996000</v>
      </c>
    </row>
    <row r="131" spans="1:7" x14ac:dyDescent="0.3">
      <c r="A131" s="5">
        <v>45869</v>
      </c>
      <c r="B131" s="22">
        <v>981000</v>
      </c>
      <c r="C131" s="22">
        <v>1019000</v>
      </c>
      <c r="D131" s="22">
        <v>981000</v>
      </c>
      <c r="E131" s="22">
        <v>992000</v>
      </c>
      <c r="F131" s="22">
        <v>996000</v>
      </c>
      <c r="G131" s="23">
        <v>996000</v>
      </c>
    </row>
    <row r="132" spans="1:7" x14ac:dyDescent="0.3">
      <c r="A132" s="5">
        <v>45870</v>
      </c>
      <c r="B132" s="22">
        <v>992000</v>
      </c>
      <c r="C132" s="22">
        <v>970000</v>
      </c>
      <c r="D132" s="22">
        <v>992000</v>
      </c>
      <c r="E132" s="22">
        <v>943000</v>
      </c>
      <c r="F132" s="22">
        <v>996000</v>
      </c>
      <c r="G132" s="23">
        <v>938000</v>
      </c>
    </row>
    <row r="133" spans="1:7" x14ac:dyDescent="0.3">
      <c r="A133" s="5">
        <v>45871</v>
      </c>
      <c r="B133" s="22">
        <v>992000</v>
      </c>
      <c r="C133" s="22">
        <v>970000</v>
      </c>
      <c r="D133" s="22">
        <v>992000</v>
      </c>
      <c r="E133" s="22">
        <v>943000</v>
      </c>
      <c r="F133" s="22">
        <v>996000</v>
      </c>
      <c r="G133" s="23">
        <v>938000</v>
      </c>
    </row>
    <row r="134" spans="1:7" x14ac:dyDescent="0.3">
      <c r="A134" s="7">
        <v>45872</v>
      </c>
      <c r="B134" s="24">
        <v>992000</v>
      </c>
      <c r="C134" s="24">
        <v>970000</v>
      </c>
      <c r="D134" s="24">
        <v>992000</v>
      </c>
      <c r="E134" s="24">
        <v>943000</v>
      </c>
      <c r="F134" s="24">
        <v>996000</v>
      </c>
      <c r="G134" s="25">
        <v>938000</v>
      </c>
    </row>
    <row r="135" spans="1:7" x14ac:dyDescent="0.3">
      <c r="A135" s="5">
        <v>45873</v>
      </c>
      <c r="B135" s="22">
        <v>943000</v>
      </c>
      <c r="C135" s="22">
        <v>968000</v>
      </c>
      <c r="D135" s="22">
        <v>943000</v>
      </c>
      <c r="E135" s="22">
        <v>941000</v>
      </c>
      <c r="F135" s="22">
        <v>938000</v>
      </c>
      <c r="G135" s="23">
        <v>942000</v>
      </c>
    </row>
    <row r="136" spans="1:7" x14ac:dyDescent="0.3">
      <c r="A136" s="5">
        <v>45874</v>
      </c>
      <c r="B136" s="22">
        <v>941000</v>
      </c>
      <c r="C136" s="22">
        <v>989000</v>
      </c>
      <c r="D136" s="22">
        <v>941000</v>
      </c>
      <c r="E136" s="22">
        <v>962000</v>
      </c>
      <c r="F136" s="22">
        <v>942000</v>
      </c>
      <c r="G136" s="23">
        <v>956000</v>
      </c>
    </row>
    <row r="137" spans="1:7" x14ac:dyDescent="0.3">
      <c r="A137" s="5">
        <v>45875</v>
      </c>
      <c r="B137" s="22">
        <v>962000</v>
      </c>
      <c r="C137" s="22">
        <v>965000</v>
      </c>
      <c r="D137" s="22">
        <v>962000</v>
      </c>
      <c r="E137" s="22">
        <v>938000</v>
      </c>
      <c r="F137" s="22">
        <v>956000</v>
      </c>
      <c r="G137" s="23">
        <v>938000</v>
      </c>
    </row>
    <row r="138" spans="1:7" x14ac:dyDescent="0.3">
      <c r="A138" s="5">
        <v>45876</v>
      </c>
      <c r="B138" s="22">
        <v>938000</v>
      </c>
      <c r="C138" s="22">
        <v>959000</v>
      </c>
      <c r="D138" s="22">
        <v>938000</v>
      </c>
      <c r="E138" s="22">
        <v>932000</v>
      </c>
      <c r="F138" s="22">
        <v>938000</v>
      </c>
      <c r="G138" s="23">
        <v>931000</v>
      </c>
    </row>
    <row r="139" spans="1:7" x14ac:dyDescent="0.3">
      <c r="A139" s="7">
        <v>45877</v>
      </c>
      <c r="B139" s="24">
        <v>932000</v>
      </c>
      <c r="C139" s="24">
        <v>912000</v>
      </c>
      <c r="D139" s="24">
        <v>932000</v>
      </c>
      <c r="E139" s="24">
        <v>885000</v>
      </c>
      <c r="F139" s="24">
        <v>931000</v>
      </c>
      <c r="G139" s="25">
        <v>887000</v>
      </c>
    </row>
    <row r="140" spans="1:7" x14ac:dyDescent="0.3">
      <c r="A140" s="5">
        <v>45878</v>
      </c>
      <c r="B140" s="22">
        <v>932000</v>
      </c>
      <c r="C140" s="22">
        <v>912000</v>
      </c>
      <c r="D140" s="22">
        <v>932000</v>
      </c>
      <c r="E140" s="22">
        <v>885000</v>
      </c>
      <c r="F140" s="22">
        <v>931000</v>
      </c>
      <c r="G140" s="23">
        <v>887000</v>
      </c>
    </row>
    <row r="141" spans="1:7" x14ac:dyDescent="0.3">
      <c r="A141" s="5">
        <v>45879</v>
      </c>
      <c r="B141" s="22">
        <v>932000</v>
      </c>
      <c r="C141" s="22">
        <v>912000</v>
      </c>
      <c r="D141" s="22">
        <v>932000</v>
      </c>
      <c r="E141" s="22">
        <v>885000</v>
      </c>
      <c r="F141" s="22">
        <v>931000</v>
      </c>
      <c r="G141" s="23">
        <v>887000</v>
      </c>
    </row>
    <row r="142" spans="1:7" x14ac:dyDescent="0.3">
      <c r="A142" s="5">
        <v>45880</v>
      </c>
      <c r="B142" s="22">
        <v>885000</v>
      </c>
      <c r="C142" s="22">
        <v>909000</v>
      </c>
      <c r="D142" s="22">
        <v>885000</v>
      </c>
      <c r="E142" s="22">
        <v>882000</v>
      </c>
      <c r="F142" s="22">
        <v>887000</v>
      </c>
      <c r="G142" s="23">
        <v>883000</v>
      </c>
    </row>
    <row r="143" spans="1:7" x14ac:dyDescent="0.3">
      <c r="A143" s="5">
        <v>45881</v>
      </c>
      <c r="B143" s="22">
        <v>882000</v>
      </c>
      <c r="C143" s="22">
        <v>880000</v>
      </c>
      <c r="D143" s="22">
        <v>882000</v>
      </c>
      <c r="E143" s="22">
        <v>853000</v>
      </c>
      <c r="F143" s="22">
        <v>883000</v>
      </c>
      <c r="G143" s="23">
        <v>858000</v>
      </c>
    </row>
    <row r="144" spans="1:7" x14ac:dyDescent="0.3">
      <c r="A144" s="7">
        <v>45882</v>
      </c>
      <c r="B144" s="24">
        <v>853000</v>
      </c>
      <c r="C144" s="24">
        <v>903000</v>
      </c>
      <c r="D144" s="24">
        <v>853000</v>
      </c>
      <c r="E144" s="24">
        <v>876000</v>
      </c>
      <c r="F144" s="24">
        <v>858000</v>
      </c>
      <c r="G144" s="25">
        <v>875000</v>
      </c>
    </row>
    <row r="145" spans="1:7" x14ac:dyDescent="0.3">
      <c r="A145" s="5">
        <v>45883</v>
      </c>
      <c r="B145" s="22">
        <v>876000</v>
      </c>
      <c r="C145" s="22">
        <v>907000</v>
      </c>
      <c r="D145" s="22">
        <v>876000</v>
      </c>
      <c r="E145" s="22">
        <v>880000</v>
      </c>
      <c r="F145" s="22">
        <v>875000</v>
      </c>
      <c r="G145" s="23">
        <v>880000</v>
      </c>
    </row>
    <row r="146" spans="1:7" x14ac:dyDescent="0.3">
      <c r="A146" s="5">
        <v>45884</v>
      </c>
      <c r="B146" s="22">
        <v>876000</v>
      </c>
      <c r="C146" s="22">
        <v>907000</v>
      </c>
      <c r="D146" s="22">
        <v>876000</v>
      </c>
      <c r="E146" s="22">
        <v>880000</v>
      </c>
      <c r="F146" s="22">
        <v>875000</v>
      </c>
      <c r="G146" s="23">
        <v>880000</v>
      </c>
    </row>
    <row r="147" spans="1:7" x14ac:dyDescent="0.3">
      <c r="A147" s="5">
        <v>45885</v>
      </c>
      <c r="B147" s="22">
        <v>876000</v>
      </c>
      <c r="C147" s="22">
        <v>907000</v>
      </c>
      <c r="D147" s="22">
        <v>876000</v>
      </c>
      <c r="E147" s="22">
        <v>880000</v>
      </c>
      <c r="F147" s="22">
        <v>875000</v>
      </c>
      <c r="G147" s="23">
        <v>880000</v>
      </c>
    </row>
    <row r="148" spans="1:7" x14ac:dyDescent="0.3">
      <c r="A148" s="5">
        <v>45886</v>
      </c>
      <c r="B148" s="22">
        <v>876000</v>
      </c>
      <c r="C148" s="22">
        <v>907000</v>
      </c>
      <c r="D148" s="22">
        <v>876000</v>
      </c>
      <c r="E148" s="22">
        <v>880000</v>
      </c>
      <c r="F148" s="22">
        <v>875000</v>
      </c>
      <c r="G148" s="23">
        <v>880000</v>
      </c>
    </row>
    <row r="149" spans="1:7" x14ac:dyDescent="0.3">
      <c r="A149" s="7">
        <v>45887</v>
      </c>
      <c r="B149" s="24">
        <v>880000</v>
      </c>
      <c r="C149" s="24">
        <v>915000</v>
      </c>
      <c r="D149" s="24">
        <v>880000</v>
      </c>
      <c r="E149" s="24">
        <v>888000</v>
      </c>
      <c r="F149" s="24">
        <v>886000</v>
      </c>
      <c r="G149" s="25">
        <v>886000</v>
      </c>
    </row>
    <row r="150" spans="1:7" x14ac:dyDescent="0.3">
      <c r="A150" s="5">
        <v>45888</v>
      </c>
      <c r="B150" s="22">
        <v>888000</v>
      </c>
      <c r="C150" s="22">
        <v>857000</v>
      </c>
      <c r="D150" s="22">
        <v>888000</v>
      </c>
      <c r="E150" s="22">
        <v>830000</v>
      </c>
      <c r="F150" s="22">
        <v>891000</v>
      </c>
      <c r="G150" s="23">
        <v>891000</v>
      </c>
    </row>
    <row r="151" spans="1:7" x14ac:dyDescent="0.3">
      <c r="A151" s="5">
        <v>45889</v>
      </c>
      <c r="B151" s="22">
        <v>830000</v>
      </c>
      <c r="C151" s="22">
        <v>844000</v>
      </c>
      <c r="D151" s="22">
        <v>830000</v>
      </c>
      <c r="E151" s="22">
        <v>817000</v>
      </c>
      <c r="F151" s="22">
        <v>830000</v>
      </c>
      <c r="G151" s="23">
        <v>830000</v>
      </c>
    </row>
    <row r="152" spans="1:7" x14ac:dyDescent="0.3">
      <c r="A152" s="5">
        <v>45890</v>
      </c>
      <c r="B152" s="22">
        <v>817000</v>
      </c>
      <c r="C152" s="22">
        <v>864000</v>
      </c>
      <c r="D152" s="22">
        <v>817000</v>
      </c>
      <c r="E152" s="22">
        <v>837000</v>
      </c>
      <c r="F152" s="22">
        <v>818000</v>
      </c>
      <c r="G152" s="23">
        <v>838000</v>
      </c>
    </row>
    <row r="153" spans="1:7" x14ac:dyDescent="0.3">
      <c r="A153" s="5">
        <v>45891</v>
      </c>
      <c r="B153" s="22">
        <v>837000</v>
      </c>
      <c r="C153" s="22">
        <v>916000</v>
      </c>
      <c r="D153" s="22">
        <v>837000</v>
      </c>
      <c r="E153" s="22">
        <v>889000</v>
      </c>
      <c r="F153" s="22">
        <v>838000</v>
      </c>
      <c r="G153" s="23">
        <v>890000</v>
      </c>
    </row>
    <row r="154" spans="1:7" x14ac:dyDescent="0.3">
      <c r="A154" s="7">
        <v>45892</v>
      </c>
      <c r="B154" s="24">
        <v>837000</v>
      </c>
      <c r="C154" s="24">
        <v>916000</v>
      </c>
      <c r="D154" s="24">
        <v>837000</v>
      </c>
      <c r="E154" s="24">
        <v>889000</v>
      </c>
      <c r="F154" s="24">
        <v>838000</v>
      </c>
      <c r="G154" s="25">
        <v>890000</v>
      </c>
    </row>
    <row r="155" spans="1:7" x14ac:dyDescent="0.3">
      <c r="A155" s="5">
        <v>45893</v>
      </c>
      <c r="B155" s="22">
        <v>837000</v>
      </c>
      <c r="C155" s="22">
        <v>916000</v>
      </c>
      <c r="D155" s="22">
        <v>837000</v>
      </c>
      <c r="E155" s="22">
        <v>889000</v>
      </c>
      <c r="F155" s="22">
        <v>838000</v>
      </c>
      <c r="G155" s="23">
        <v>890000</v>
      </c>
    </row>
    <row r="156" spans="1:7" x14ac:dyDescent="0.3">
      <c r="A156" s="5">
        <v>45894</v>
      </c>
      <c r="B156" s="22">
        <v>889000</v>
      </c>
      <c r="C156" s="22">
        <v>931000</v>
      </c>
      <c r="D156" s="22">
        <v>889000</v>
      </c>
      <c r="E156" s="22">
        <v>904000</v>
      </c>
      <c r="F156" s="22">
        <v>890000</v>
      </c>
      <c r="G156" s="23">
        <v>905000</v>
      </c>
    </row>
    <row r="157" spans="1:7" x14ac:dyDescent="0.3">
      <c r="A157" s="5">
        <v>45895</v>
      </c>
      <c r="B157" s="22">
        <v>904000</v>
      </c>
      <c r="C157" s="22">
        <v>925000</v>
      </c>
      <c r="D157" s="22">
        <v>904000</v>
      </c>
      <c r="E157" s="22">
        <v>898000</v>
      </c>
      <c r="F157" s="22">
        <v>905000</v>
      </c>
      <c r="G157" s="23">
        <v>894000</v>
      </c>
    </row>
    <row r="158" spans="1:7" x14ac:dyDescent="0.3">
      <c r="A158" s="5">
        <v>45896</v>
      </c>
      <c r="B158" s="22">
        <v>898000</v>
      </c>
      <c r="C158" s="22">
        <v>930000</v>
      </c>
      <c r="D158" s="22">
        <v>898000</v>
      </c>
      <c r="E158" s="22">
        <v>903000</v>
      </c>
      <c r="F158" s="22">
        <v>894000</v>
      </c>
      <c r="G158" s="23">
        <v>911000</v>
      </c>
    </row>
    <row r="159" spans="1:7" x14ac:dyDescent="0.3">
      <c r="A159" s="7">
        <v>45897</v>
      </c>
      <c r="B159" s="24">
        <v>903000</v>
      </c>
      <c r="C159" s="24">
        <v>937000</v>
      </c>
      <c r="D159" s="24">
        <v>903000</v>
      </c>
      <c r="E159" s="24">
        <v>910000</v>
      </c>
      <c r="F159" s="24">
        <v>911000</v>
      </c>
      <c r="G159" s="25">
        <v>924000</v>
      </c>
    </row>
    <row r="160" spans="1:7" x14ac:dyDescent="0.3">
      <c r="A160" s="5">
        <v>45898</v>
      </c>
      <c r="B160" s="22">
        <v>910000</v>
      </c>
      <c r="C160" s="22">
        <v>916000</v>
      </c>
      <c r="D160" s="22">
        <v>910000</v>
      </c>
      <c r="E160" s="22">
        <v>889000</v>
      </c>
      <c r="F160" s="22">
        <v>924000</v>
      </c>
      <c r="G160" s="23">
        <v>890000</v>
      </c>
    </row>
    <row r="161" spans="1:7" x14ac:dyDescent="0.3">
      <c r="A161" s="5">
        <v>45899</v>
      </c>
      <c r="B161" s="22">
        <v>910000</v>
      </c>
      <c r="C161" s="22">
        <v>916000</v>
      </c>
      <c r="D161" s="22">
        <v>910000</v>
      </c>
      <c r="E161" s="22">
        <v>889000</v>
      </c>
      <c r="F161" s="22">
        <v>924000</v>
      </c>
      <c r="G161" s="23">
        <v>890000</v>
      </c>
    </row>
    <row r="162" spans="1:7" x14ac:dyDescent="0.3">
      <c r="A162" s="5">
        <v>45900</v>
      </c>
      <c r="B162" s="22">
        <v>910000</v>
      </c>
      <c r="C162" s="22">
        <v>916000</v>
      </c>
      <c r="D162" s="22">
        <v>910000</v>
      </c>
      <c r="E162" s="22">
        <v>889000</v>
      </c>
      <c r="F162" s="22">
        <v>924000</v>
      </c>
      <c r="G162" s="23">
        <v>890000</v>
      </c>
    </row>
    <row r="163" spans="1:7" x14ac:dyDescent="0.3">
      <c r="A163" s="5">
        <v>45901</v>
      </c>
      <c r="B163" s="22">
        <v>889000</v>
      </c>
      <c r="C163" s="22">
        <v>941000</v>
      </c>
      <c r="D163" s="22">
        <v>889000</v>
      </c>
      <c r="E163" s="22">
        <v>914000</v>
      </c>
      <c r="F163" s="22">
        <v>890000</v>
      </c>
      <c r="G163" s="23">
        <v>917000</v>
      </c>
    </row>
    <row r="164" spans="1:7" x14ac:dyDescent="0.3">
      <c r="A164" s="7">
        <v>45902</v>
      </c>
      <c r="B164" s="24">
        <v>914000</v>
      </c>
      <c r="C164" s="24">
        <v>960000</v>
      </c>
      <c r="D164" s="24">
        <v>914000</v>
      </c>
      <c r="E164" s="24">
        <v>933000</v>
      </c>
      <c r="F164" s="24">
        <v>917000</v>
      </c>
      <c r="G164" s="25">
        <v>935000</v>
      </c>
    </row>
    <row r="165" spans="1:7" x14ac:dyDescent="0.3">
      <c r="A165" s="5">
        <v>45903</v>
      </c>
      <c r="B165" s="22">
        <v>933000</v>
      </c>
      <c r="C165" s="22">
        <v>966000</v>
      </c>
      <c r="D165" s="22">
        <v>933000</v>
      </c>
      <c r="E165" s="22">
        <v>939000</v>
      </c>
      <c r="F165" s="22">
        <v>935000</v>
      </c>
      <c r="G165" s="23">
        <v>937000</v>
      </c>
    </row>
    <row r="166" spans="1:7" x14ac:dyDescent="0.3">
      <c r="A166" s="5">
        <v>45904</v>
      </c>
      <c r="B166" s="22">
        <v>939000</v>
      </c>
      <c r="C166" s="22">
        <v>960000</v>
      </c>
      <c r="D166" s="22">
        <v>939000</v>
      </c>
      <c r="E166" s="22">
        <v>933000</v>
      </c>
      <c r="F166" s="22">
        <v>937000</v>
      </c>
      <c r="G166" s="23">
        <v>931000</v>
      </c>
    </row>
    <row r="167" spans="1:7" x14ac:dyDescent="0.3">
      <c r="A167" s="5">
        <v>45905</v>
      </c>
      <c r="B167" s="22">
        <v>933000</v>
      </c>
      <c r="C167" s="22">
        <v>950000</v>
      </c>
      <c r="D167" s="22">
        <v>933000</v>
      </c>
      <c r="E167" s="22">
        <v>923000</v>
      </c>
      <c r="F167" s="22">
        <v>931000</v>
      </c>
      <c r="G167" s="23">
        <v>923000</v>
      </c>
    </row>
    <row r="168" spans="1:7" x14ac:dyDescent="0.3">
      <c r="A168" s="5">
        <v>45906</v>
      </c>
      <c r="B168" s="22">
        <v>933000</v>
      </c>
      <c r="C168" s="22">
        <v>950000</v>
      </c>
      <c r="D168" s="22">
        <v>933000</v>
      </c>
      <c r="E168" s="22">
        <v>923000</v>
      </c>
      <c r="F168" s="22">
        <v>931000</v>
      </c>
      <c r="G168" s="23">
        <v>923000</v>
      </c>
    </row>
    <row r="169" spans="1:7" x14ac:dyDescent="0.3">
      <c r="A169" s="7">
        <v>45907</v>
      </c>
      <c r="B169" s="24">
        <v>933000</v>
      </c>
      <c r="C169" s="24">
        <v>950000</v>
      </c>
      <c r="D169" s="24">
        <v>933000</v>
      </c>
      <c r="E169" s="24">
        <v>923000</v>
      </c>
      <c r="F169" s="24">
        <v>931000</v>
      </c>
      <c r="G169" s="25">
        <v>923000</v>
      </c>
    </row>
    <row r="170" spans="1:7" x14ac:dyDescent="0.3">
      <c r="A170" s="5">
        <v>45908</v>
      </c>
      <c r="B170" s="22">
        <v>923000</v>
      </c>
      <c r="C170" s="22">
        <v>973000</v>
      </c>
      <c r="D170" s="22">
        <v>923000</v>
      </c>
      <c r="E170" s="22">
        <v>946000</v>
      </c>
      <c r="F170" s="22">
        <v>923000</v>
      </c>
      <c r="G170" s="23">
        <v>950000</v>
      </c>
    </row>
    <row r="171" spans="1:7" x14ac:dyDescent="0.3">
      <c r="A171" s="5">
        <v>45909</v>
      </c>
      <c r="B171" s="22">
        <v>946000</v>
      </c>
      <c r="C171" s="22">
        <v>972000</v>
      </c>
      <c r="D171" s="22">
        <v>946000</v>
      </c>
      <c r="E171" s="22">
        <v>945000</v>
      </c>
      <c r="F171" s="22">
        <v>950000</v>
      </c>
      <c r="G171" s="23">
        <v>948000</v>
      </c>
    </row>
    <row r="172" spans="1:7" x14ac:dyDescent="0.3">
      <c r="A172" s="5">
        <v>45910</v>
      </c>
      <c r="B172" s="22">
        <v>945000</v>
      </c>
      <c r="C172" s="22">
        <v>991000</v>
      </c>
      <c r="D172" s="22">
        <v>945000</v>
      </c>
      <c r="E172" s="22">
        <v>964000</v>
      </c>
      <c r="F172" s="22">
        <v>948000</v>
      </c>
      <c r="G172" s="23">
        <v>968000</v>
      </c>
    </row>
    <row r="173" spans="1:7" x14ac:dyDescent="0.3">
      <c r="A173" s="5">
        <v>45911</v>
      </c>
      <c r="B173" s="22">
        <v>964000</v>
      </c>
      <c r="C173" s="22">
        <v>1027000</v>
      </c>
      <c r="D173" s="22">
        <v>964000</v>
      </c>
      <c r="E173" s="22">
        <v>1000000</v>
      </c>
      <c r="F173" s="22">
        <v>968000</v>
      </c>
      <c r="G173" s="23">
        <v>1001000</v>
      </c>
    </row>
    <row r="174" spans="1:7" x14ac:dyDescent="0.3">
      <c r="A174" s="7">
        <v>45912</v>
      </c>
      <c r="B174" s="24">
        <v>1001000</v>
      </c>
      <c r="C174" s="24">
        <v>1029000</v>
      </c>
      <c r="D174" s="24">
        <v>1001000</v>
      </c>
      <c r="E174" s="24">
        <v>1003000</v>
      </c>
      <c r="F174" s="24">
        <v>1004000</v>
      </c>
      <c r="G174" s="25">
        <v>1004000</v>
      </c>
    </row>
    <row r="175" spans="1:7" x14ac:dyDescent="0.3">
      <c r="A175" s="5">
        <v>45913</v>
      </c>
      <c r="B175" s="22">
        <v>1001000</v>
      </c>
      <c r="C175" s="22">
        <v>1029000</v>
      </c>
      <c r="D175" s="22">
        <v>1001000</v>
      </c>
      <c r="E175" s="22">
        <v>1003000</v>
      </c>
      <c r="F175" s="22">
        <v>1004000</v>
      </c>
      <c r="G175" s="23">
        <v>1004000</v>
      </c>
    </row>
    <row r="176" spans="1:7" x14ac:dyDescent="0.3">
      <c r="A176" s="5">
        <v>45914</v>
      </c>
      <c r="B176" s="22">
        <v>1001000</v>
      </c>
      <c r="C176" s="22">
        <v>1029000</v>
      </c>
      <c r="D176" s="22">
        <v>1001000</v>
      </c>
      <c r="E176" s="22">
        <v>1003000</v>
      </c>
      <c r="F176" s="22">
        <v>1004000</v>
      </c>
      <c r="G176" s="23">
        <v>1004000</v>
      </c>
    </row>
    <row r="177" spans="1:7" x14ac:dyDescent="0.3">
      <c r="A177" s="5">
        <v>45915</v>
      </c>
      <c r="B177" s="22">
        <v>1003000</v>
      </c>
      <c r="C177" s="22">
        <v>1012000</v>
      </c>
      <c r="D177" s="22">
        <v>1003000</v>
      </c>
      <c r="E177" s="22">
        <v>986000</v>
      </c>
      <c r="F177" s="22">
        <v>1004000</v>
      </c>
      <c r="G177" s="23">
        <v>986000</v>
      </c>
    </row>
    <row r="178" spans="1:7" x14ac:dyDescent="0.3">
      <c r="A178" s="5">
        <v>45916</v>
      </c>
      <c r="B178" s="22">
        <v>986000</v>
      </c>
      <c r="C178" s="22">
        <v>1064000</v>
      </c>
      <c r="D178" s="22">
        <v>986000</v>
      </c>
      <c r="E178" s="22">
        <v>1038000</v>
      </c>
      <c r="F178" s="22">
        <v>986000</v>
      </c>
      <c r="G178" s="23">
        <v>1039000</v>
      </c>
    </row>
    <row r="179" spans="1:7" x14ac:dyDescent="0.3">
      <c r="A179" s="7">
        <v>45917</v>
      </c>
      <c r="B179" s="24">
        <v>1038000</v>
      </c>
      <c r="C179" s="24">
        <v>1055000</v>
      </c>
      <c r="D179" s="24">
        <v>1038000</v>
      </c>
      <c r="E179" s="24">
        <v>1029000</v>
      </c>
      <c r="F179" s="24">
        <v>1039000</v>
      </c>
      <c r="G179" s="25">
        <v>1023000</v>
      </c>
    </row>
    <row r="180" spans="1:7" x14ac:dyDescent="0.3">
      <c r="A180" s="5">
        <v>45918</v>
      </c>
      <c r="B180" s="22">
        <v>1029000</v>
      </c>
      <c r="C180" s="22">
        <v>1049000</v>
      </c>
      <c r="D180" s="22">
        <v>1029000</v>
      </c>
      <c r="E180" s="22">
        <v>1023000</v>
      </c>
      <c r="F180" s="22">
        <v>1023000</v>
      </c>
      <c r="G180" s="23">
        <v>1025000</v>
      </c>
    </row>
    <row r="181" spans="1:7" x14ac:dyDescent="0.3">
      <c r="A181" s="5">
        <v>45919</v>
      </c>
      <c r="B181" s="22">
        <v>1023000</v>
      </c>
      <c r="C181" s="22">
        <v>1052000</v>
      </c>
      <c r="D181" s="22">
        <v>1023000</v>
      </c>
      <c r="E181" s="22">
        <v>1026000</v>
      </c>
      <c r="F181" s="22">
        <v>1025000</v>
      </c>
      <c r="G181" s="23">
        <v>1030000</v>
      </c>
    </row>
    <row r="182" spans="1:7" x14ac:dyDescent="0.3">
      <c r="A182" s="5">
        <v>45920</v>
      </c>
      <c r="B182" s="22">
        <v>1023000</v>
      </c>
      <c r="C182" s="22">
        <v>1052000</v>
      </c>
      <c r="D182" s="22">
        <v>1023000</v>
      </c>
      <c r="E182" s="22">
        <v>1026000</v>
      </c>
      <c r="F182" s="22">
        <v>1025000</v>
      </c>
      <c r="G182" s="23">
        <v>1030000</v>
      </c>
    </row>
    <row r="183" spans="1:7" x14ac:dyDescent="0.3">
      <c r="A183" s="5">
        <v>45921</v>
      </c>
      <c r="B183" s="22">
        <v>1023000</v>
      </c>
      <c r="C183" s="22">
        <v>1052000</v>
      </c>
      <c r="D183" s="22">
        <v>1023000</v>
      </c>
      <c r="E183" s="22">
        <v>1026000</v>
      </c>
      <c r="F183" s="22">
        <v>1025000</v>
      </c>
      <c r="G183" s="23">
        <v>1030000</v>
      </c>
    </row>
    <row r="184" spans="1:7" x14ac:dyDescent="0.3">
      <c r="A184" s="7">
        <v>45922</v>
      </c>
      <c r="B184" s="24">
        <v>1026000</v>
      </c>
      <c r="C184" s="24">
        <v>1047000</v>
      </c>
      <c r="D184" s="24">
        <v>1026000</v>
      </c>
      <c r="E184" s="24">
        <v>1021000</v>
      </c>
      <c r="F184" s="24">
        <v>1030000</v>
      </c>
      <c r="G184" s="25">
        <v>1016000</v>
      </c>
    </row>
    <row r="185" spans="1:7" x14ac:dyDescent="0.3">
      <c r="A185" s="5">
        <v>45923</v>
      </c>
      <c r="B185" s="22">
        <v>1021000</v>
      </c>
      <c r="C185" s="22">
        <v>1029000</v>
      </c>
      <c r="D185" s="22">
        <v>1021000</v>
      </c>
      <c r="E185" s="22">
        <v>1003000</v>
      </c>
      <c r="F185" s="22">
        <v>1016000</v>
      </c>
      <c r="G185" s="23">
        <v>1005000</v>
      </c>
    </row>
    <row r="186" spans="1:7" x14ac:dyDescent="0.3">
      <c r="A186" s="5">
        <v>45924</v>
      </c>
      <c r="B186" s="22">
        <v>1003000</v>
      </c>
      <c r="C186" s="22">
        <v>1084000</v>
      </c>
      <c r="D186" s="22">
        <v>1003000</v>
      </c>
      <c r="E186" s="22">
        <v>1058000</v>
      </c>
      <c r="F186" s="22">
        <v>1005000</v>
      </c>
      <c r="G186" s="23">
        <v>1060000</v>
      </c>
    </row>
    <row r="187" spans="1:7" x14ac:dyDescent="0.3">
      <c r="A187" s="5">
        <v>45925</v>
      </c>
      <c r="B187" s="22">
        <v>1058000</v>
      </c>
      <c r="C187" s="22">
        <v>1076000</v>
      </c>
      <c r="D187" s="22">
        <v>1058000</v>
      </c>
      <c r="E187" s="22">
        <v>1050000</v>
      </c>
      <c r="F187" s="22">
        <v>1060000</v>
      </c>
      <c r="G187" s="23">
        <v>1049000</v>
      </c>
    </row>
    <row r="188" spans="1:7" x14ac:dyDescent="0.3">
      <c r="A188" s="5">
        <v>45926</v>
      </c>
      <c r="B188" s="22">
        <v>1050000</v>
      </c>
      <c r="C188" s="22">
        <v>1072000</v>
      </c>
      <c r="D188" s="22">
        <v>1050000</v>
      </c>
      <c r="E188" s="22">
        <v>1046000</v>
      </c>
      <c r="F188" s="22">
        <v>1049000</v>
      </c>
      <c r="G188" s="23">
        <v>1051000</v>
      </c>
    </row>
    <row r="189" spans="1:7" x14ac:dyDescent="0.3">
      <c r="A189" s="7">
        <v>45927</v>
      </c>
      <c r="B189" s="24">
        <v>1050000</v>
      </c>
      <c r="C189" s="24">
        <v>1072000</v>
      </c>
      <c r="D189" s="24">
        <v>1050000</v>
      </c>
      <c r="E189" s="24">
        <v>1046000</v>
      </c>
      <c r="F189" s="24">
        <v>1049000</v>
      </c>
      <c r="G189" s="25">
        <v>1051000</v>
      </c>
    </row>
    <row r="190" spans="1:7" x14ac:dyDescent="0.3">
      <c r="A190" s="5">
        <v>45928</v>
      </c>
      <c r="B190" s="22">
        <v>1050000</v>
      </c>
      <c r="C190" s="22">
        <v>1072000</v>
      </c>
      <c r="D190" s="22">
        <v>1050000</v>
      </c>
      <c r="E190" s="22">
        <v>1046000</v>
      </c>
      <c r="F190" s="22">
        <v>1049000</v>
      </c>
      <c r="G190" s="23">
        <v>1051000</v>
      </c>
    </row>
    <row r="191" spans="1:7" x14ac:dyDescent="0.3">
      <c r="A191" s="5">
        <v>45929</v>
      </c>
      <c r="B191" s="22">
        <v>1046000</v>
      </c>
      <c r="C191" s="22">
        <v>1089000</v>
      </c>
      <c r="D191" s="22">
        <v>1046000</v>
      </c>
      <c r="E191" s="22">
        <v>1063000</v>
      </c>
      <c r="F191" s="22">
        <v>1051000</v>
      </c>
      <c r="G191" s="23">
        <v>1064000</v>
      </c>
    </row>
    <row r="192" spans="1:7" x14ac:dyDescent="0.3">
      <c r="A192" s="5">
        <v>45930</v>
      </c>
      <c r="B192" s="22">
        <v>1063000</v>
      </c>
      <c r="C192" s="22">
        <v>1133000</v>
      </c>
      <c r="D192" s="22">
        <v>1063000</v>
      </c>
      <c r="E192" s="22">
        <v>1107000</v>
      </c>
      <c r="F192" s="22">
        <v>1064000</v>
      </c>
      <c r="G192" s="23">
        <v>1110000</v>
      </c>
    </row>
    <row r="193" spans="1:7" x14ac:dyDescent="0.3">
      <c r="A193" s="5">
        <v>45931</v>
      </c>
      <c r="B193" s="22">
        <v>1107000</v>
      </c>
      <c r="C193" s="22">
        <v>1125000</v>
      </c>
      <c r="D193" s="22">
        <v>1107000</v>
      </c>
      <c r="E193" s="22">
        <v>1099000</v>
      </c>
      <c r="F193" s="22">
        <v>1110000</v>
      </c>
      <c r="G193" s="23">
        <v>1102000</v>
      </c>
    </row>
    <row r="194" spans="1:7" x14ac:dyDescent="0.3">
      <c r="A194" s="7">
        <v>45932</v>
      </c>
      <c r="B194" s="24">
        <v>1099000</v>
      </c>
      <c r="C194" s="24">
        <v>1131000</v>
      </c>
      <c r="D194" s="24">
        <v>1099000</v>
      </c>
      <c r="E194" s="24">
        <v>1105000</v>
      </c>
      <c r="F194" s="24">
        <v>1102000</v>
      </c>
      <c r="G194" s="25">
        <v>1105000</v>
      </c>
    </row>
    <row r="195" spans="1:7" x14ac:dyDescent="0.3">
      <c r="A195" s="5">
        <v>45933</v>
      </c>
      <c r="B195" s="22">
        <v>1099000</v>
      </c>
      <c r="C195" s="22">
        <v>1131000</v>
      </c>
      <c r="D195" s="22">
        <v>1099000</v>
      </c>
      <c r="E195" s="22">
        <v>1105000</v>
      </c>
      <c r="F195" s="22">
        <v>1102000</v>
      </c>
      <c r="G195" s="23">
        <v>1105000</v>
      </c>
    </row>
    <row r="196" spans="1:7" x14ac:dyDescent="0.3">
      <c r="A196" s="5">
        <v>45934</v>
      </c>
      <c r="B196" s="22">
        <v>1099000</v>
      </c>
      <c r="C196" s="22">
        <v>1131000</v>
      </c>
      <c r="D196" s="22">
        <v>1099000</v>
      </c>
      <c r="E196" s="22">
        <v>1105000</v>
      </c>
      <c r="F196" s="22">
        <v>1102000</v>
      </c>
      <c r="G196" s="23">
        <v>1105000</v>
      </c>
    </row>
    <row r="197" spans="1:7" x14ac:dyDescent="0.3">
      <c r="A197" s="5">
        <v>45935</v>
      </c>
      <c r="B197" s="22">
        <v>1099000</v>
      </c>
      <c r="C197" s="22">
        <v>1131000</v>
      </c>
      <c r="D197" s="22">
        <v>1099000</v>
      </c>
      <c r="E197" s="22">
        <v>1105000</v>
      </c>
      <c r="F197" s="22">
        <v>1102000</v>
      </c>
      <c r="G197" s="23">
        <v>1105000</v>
      </c>
    </row>
    <row r="198" spans="1:7" x14ac:dyDescent="0.3">
      <c r="A198" s="5">
        <v>45936</v>
      </c>
      <c r="B198" s="22">
        <v>1099000</v>
      </c>
      <c r="C198" s="22">
        <v>1131000</v>
      </c>
      <c r="D198" s="22">
        <v>1099000</v>
      </c>
      <c r="E198" s="22">
        <v>1105000</v>
      </c>
      <c r="F198" s="22">
        <v>1102000</v>
      </c>
      <c r="G198" s="23">
        <v>1105000</v>
      </c>
    </row>
    <row r="199" spans="1:7" x14ac:dyDescent="0.3">
      <c r="A199" s="7">
        <v>45937</v>
      </c>
      <c r="B199" s="24">
        <v>1099000</v>
      </c>
      <c r="C199" s="24">
        <v>1131000</v>
      </c>
      <c r="D199" s="24">
        <v>1099000</v>
      </c>
      <c r="E199" s="24">
        <v>1105000</v>
      </c>
      <c r="F199" s="24">
        <v>1102000</v>
      </c>
      <c r="G199" s="25">
        <v>1105000</v>
      </c>
    </row>
    <row r="200" spans="1:7" x14ac:dyDescent="0.3">
      <c r="A200" s="5">
        <v>45938</v>
      </c>
      <c r="B200" s="22">
        <v>1099000</v>
      </c>
      <c r="C200" s="22">
        <v>1131000</v>
      </c>
      <c r="D200" s="22">
        <v>1099000</v>
      </c>
      <c r="E200" s="22">
        <v>1105000</v>
      </c>
      <c r="F200" s="22">
        <v>1102000</v>
      </c>
      <c r="G200" s="23">
        <v>1105000</v>
      </c>
    </row>
    <row r="201" spans="1:7" x14ac:dyDescent="0.3">
      <c r="A201" s="5">
        <v>45939</v>
      </c>
      <c r="B201" s="22">
        <v>1099000</v>
      </c>
      <c r="C201" s="22">
        <v>1131000</v>
      </c>
      <c r="D201" s="22">
        <v>1099000</v>
      </c>
      <c r="E201" s="22">
        <v>1105000</v>
      </c>
      <c r="F201" s="22">
        <v>1102000</v>
      </c>
      <c r="G201" s="23">
        <v>1105000</v>
      </c>
    </row>
    <row r="202" spans="1:7" x14ac:dyDescent="0.3">
      <c r="A202" s="5">
        <v>45940</v>
      </c>
      <c r="B202" s="22">
        <v>1105000</v>
      </c>
      <c r="C202" s="22">
        <v>1073000</v>
      </c>
      <c r="D202" s="22">
        <v>1105000</v>
      </c>
      <c r="E202" s="22">
        <v>1047000</v>
      </c>
      <c r="F202" s="22">
        <v>1107000</v>
      </c>
      <c r="G202" s="23">
        <v>1049000</v>
      </c>
    </row>
    <row r="203" spans="1:7" x14ac:dyDescent="0.3">
      <c r="A203" s="5">
        <v>45941</v>
      </c>
      <c r="B203" s="22">
        <v>1105000</v>
      </c>
      <c r="C203" s="22">
        <v>1073000</v>
      </c>
      <c r="D203" s="22">
        <v>1105000</v>
      </c>
      <c r="E203" s="22">
        <v>1047000</v>
      </c>
      <c r="F203" s="22">
        <v>1107000</v>
      </c>
      <c r="G203" s="23">
        <v>1049000</v>
      </c>
    </row>
    <row r="204" spans="1:7" x14ac:dyDescent="0.3">
      <c r="A204" s="7">
        <v>45942</v>
      </c>
      <c r="B204" s="24">
        <v>1105000</v>
      </c>
      <c r="C204" s="24">
        <v>1073000</v>
      </c>
      <c r="D204" s="24">
        <v>1105000</v>
      </c>
      <c r="E204" s="24">
        <v>1047000</v>
      </c>
      <c r="F204" s="24">
        <v>1107000</v>
      </c>
      <c r="G204" s="25">
        <v>1049000</v>
      </c>
    </row>
    <row r="205" spans="1:7" x14ac:dyDescent="0.3">
      <c r="A205" s="5">
        <v>45943</v>
      </c>
      <c r="B205" s="22">
        <v>1047000</v>
      </c>
      <c r="C205" s="22">
        <v>1027000</v>
      </c>
      <c r="D205" s="22">
        <v>1047000</v>
      </c>
      <c r="E205" s="22">
        <v>1001000</v>
      </c>
      <c r="F205" s="22">
        <v>1049000</v>
      </c>
      <c r="G205" s="23">
        <v>999000</v>
      </c>
    </row>
    <row r="206" spans="1:7" x14ac:dyDescent="0.3">
      <c r="A206" s="5">
        <v>45944</v>
      </c>
      <c r="B206" s="22">
        <v>1001000</v>
      </c>
      <c r="C206" s="22">
        <v>966000</v>
      </c>
      <c r="D206" s="22">
        <v>1001000</v>
      </c>
      <c r="E206" s="22">
        <v>940000</v>
      </c>
      <c r="F206" s="22">
        <v>999000</v>
      </c>
      <c r="G206" s="23">
        <v>934000</v>
      </c>
    </row>
    <row r="207" spans="1:7" x14ac:dyDescent="0.3">
      <c r="A207" s="5">
        <v>45945</v>
      </c>
      <c r="B207" s="22">
        <v>940000</v>
      </c>
      <c r="C207" s="22">
        <v>985000</v>
      </c>
      <c r="D207" s="22">
        <v>940000</v>
      </c>
      <c r="E207" s="22">
        <v>959000</v>
      </c>
      <c r="F207" s="22">
        <v>934000</v>
      </c>
      <c r="G207" s="23">
        <v>949000</v>
      </c>
    </row>
    <row r="208" spans="1:7" x14ac:dyDescent="0.3">
      <c r="A208" s="5">
        <v>45946</v>
      </c>
      <c r="B208" s="22">
        <v>959000</v>
      </c>
      <c r="C208" s="22">
        <v>968000</v>
      </c>
      <c r="D208" s="22">
        <v>959000</v>
      </c>
      <c r="E208" s="22">
        <v>942000</v>
      </c>
      <c r="F208" s="22">
        <v>949000</v>
      </c>
      <c r="G208" s="23">
        <v>948000</v>
      </c>
    </row>
    <row r="209" spans="1:7" x14ac:dyDescent="0.3">
      <c r="A209" s="7">
        <v>45947</v>
      </c>
      <c r="B209" s="24">
        <v>942000</v>
      </c>
      <c r="C209" s="24">
        <v>940000</v>
      </c>
      <c r="D209" s="24">
        <v>942000</v>
      </c>
      <c r="E209" s="24">
        <v>914000</v>
      </c>
      <c r="F209" s="24">
        <v>948000</v>
      </c>
      <c r="G209" s="25">
        <v>922000</v>
      </c>
    </row>
    <row r="210" spans="1:7" x14ac:dyDescent="0.3">
      <c r="A210" s="5">
        <v>45948</v>
      </c>
      <c r="B210" s="22">
        <v>942000</v>
      </c>
      <c r="C210" s="22">
        <v>940000</v>
      </c>
      <c r="D210" s="22">
        <v>942000</v>
      </c>
      <c r="E210" s="22">
        <v>914000</v>
      </c>
      <c r="F210" s="22">
        <v>948000</v>
      </c>
      <c r="G210" s="23">
        <v>922000</v>
      </c>
    </row>
    <row r="211" spans="1:7" x14ac:dyDescent="0.3">
      <c r="A211" s="5">
        <v>45949</v>
      </c>
      <c r="B211" s="22">
        <v>942000</v>
      </c>
      <c r="C211" s="22">
        <v>940000</v>
      </c>
      <c r="D211" s="22">
        <v>942000</v>
      </c>
      <c r="E211" s="22">
        <v>914000</v>
      </c>
      <c r="F211" s="22">
        <v>948000</v>
      </c>
      <c r="G211" s="23">
        <v>922000</v>
      </c>
    </row>
    <row r="212" spans="1:7" x14ac:dyDescent="0.3">
      <c r="A212" s="5">
        <v>45950</v>
      </c>
      <c r="B212" s="22">
        <v>914000</v>
      </c>
      <c r="C212" s="22">
        <v>983000</v>
      </c>
      <c r="D212" s="22">
        <v>914000</v>
      </c>
      <c r="E212" s="22">
        <v>957000</v>
      </c>
      <c r="F212" s="22">
        <v>922000</v>
      </c>
      <c r="G212" s="23">
        <v>955000</v>
      </c>
    </row>
    <row r="213" spans="1:7" x14ac:dyDescent="0.3">
      <c r="A213" s="5">
        <v>45951</v>
      </c>
      <c r="B213" s="22">
        <v>957000</v>
      </c>
      <c r="C213" s="22">
        <v>1004000</v>
      </c>
      <c r="D213" s="22">
        <v>957000</v>
      </c>
      <c r="E213" s="22">
        <v>978000</v>
      </c>
      <c r="F213" s="22">
        <v>955000</v>
      </c>
      <c r="G213" s="23">
        <v>985000</v>
      </c>
    </row>
    <row r="214" spans="1:7" x14ac:dyDescent="0.3">
      <c r="A214" s="7">
        <v>45952</v>
      </c>
      <c r="B214" s="24">
        <v>978000</v>
      </c>
      <c r="C214" s="24">
        <v>1036000</v>
      </c>
      <c r="D214" s="24">
        <v>978000</v>
      </c>
      <c r="E214" s="24">
        <v>1010000</v>
      </c>
      <c r="F214" s="24">
        <v>985000</v>
      </c>
      <c r="G214" s="25">
        <v>1013000</v>
      </c>
    </row>
    <row r="215" spans="1:7" x14ac:dyDescent="0.3">
      <c r="A215" s="5">
        <v>45953</v>
      </c>
      <c r="B215" s="22">
        <v>1010000</v>
      </c>
      <c r="C215" s="22">
        <v>1077000</v>
      </c>
      <c r="D215" s="22">
        <v>1010000</v>
      </c>
      <c r="E215" s="22">
        <v>1051000</v>
      </c>
      <c r="F215" s="22">
        <v>1013000</v>
      </c>
      <c r="G215" s="23">
        <v>1050000</v>
      </c>
    </row>
    <row r="216" spans="1:7" x14ac:dyDescent="0.3">
      <c r="A216" s="5">
        <v>45954</v>
      </c>
      <c r="B216" s="22">
        <v>1051000</v>
      </c>
      <c r="C216" s="22">
        <v>1045000</v>
      </c>
      <c r="D216" s="22">
        <v>1051000</v>
      </c>
      <c r="E216" s="22">
        <v>1019000</v>
      </c>
      <c r="F216" s="22">
        <v>1050000</v>
      </c>
      <c r="G216" s="23">
        <v>1003000</v>
      </c>
    </row>
    <row r="217" spans="1:7" x14ac:dyDescent="0.3">
      <c r="A217" s="5">
        <v>45955</v>
      </c>
      <c r="B217" s="22">
        <v>1051000</v>
      </c>
      <c r="C217" s="22">
        <v>1045000</v>
      </c>
      <c r="D217" s="22">
        <v>1051000</v>
      </c>
      <c r="E217" s="22">
        <v>1019000</v>
      </c>
      <c r="F217" s="22">
        <v>1050000</v>
      </c>
      <c r="G217" s="23">
        <v>1003000</v>
      </c>
    </row>
    <row r="218" spans="1:7" x14ac:dyDescent="0.3">
      <c r="A218" s="5">
        <v>45956</v>
      </c>
      <c r="B218" s="22">
        <v>1051000</v>
      </c>
      <c r="C218" s="22">
        <v>1045000</v>
      </c>
      <c r="D218" s="22">
        <v>1051000</v>
      </c>
      <c r="E218" s="22">
        <v>1019000</v>
      </c>
      <c r="F218" s="22">
        <v>1050000</v>
      </c>
      <c r="G218" s="23">
        <v>1003000</v>
      </c>
    </row>
    <row r="219" spans="1:7" x14ac:dyDescent="0.3">
      <c r="A219" s="7">
        <v>45957</v>
      </c>
      <c r="B219" s="24">
        <v>1019000</v>
      </c>
      <c r="C219" s="24">
        <v>1065000</v>
      </c>
      <c r="D219" s="24">
        <v>1019000</v>
      </c>
      <c r="E219" s="24">
        <v>1039000</v>
      </c>
      <c r="F219" s="24">
        <v>1003000</v>
      </c>
      <c r="G219" s="25">
        <v>1031000</v>
      </c>
    </row>
    <row r="220" spans="1:7" x14ac:dyDescent="0.3">
      <c r="A220" s="5">
        <v>45958</v>
      </c>
      <c r="B220" s="22">
        <v>1039000</v>
      </c>
      <c r="C220" s="22">
        <v>1029000</v>
      </c>
      <c r="D220" s="22">
        <v>1039000</v>
      </c>
      <c r="E220" s="22">
        <v>1003000</v>
      </c>
      <c r="F220" s="22">
        <v>1031000</v>
      </c>
      <c r="G220" s="23">
        <v>1000000</v>
      </c>
    </row>
    <row r="221" spans="1:7" x14ac:dyDescent="0.3">
      <c r="A221" s="5">
        <v>45959</v>
      </c>
      <c r="B221" s="22">
        <v>1003000</v>
      </c>
      <c r="C221" s="22">
        <v>1023000</v>
      </c>
      <c r="D221" s="22">
        <v>1003000</v>
      </c>
      <c r="E221" s="22">
        <v>997000</v>
      </c>
      <c r="F221" s="22">
        <v>1000000</v>
      </c>
      <c r="G221" s="23">
        <v>999000</v>
      </c>
    </row>
    <row r="222" spans="1:7" x14ac:dyDescent="0.3">
      <c r="A222" s="5">
        <v>45960</v>
      </c>
      <c r="B222" s="22">
        <v>997000</v>
      </c>
      <c r="C222" s="22">
        <v>1021000</v>
      </c>
      <c r="D222" s="22">
        <v>997000</v>
      </c>
      <c r="E222" s="22">
        <v>995000</v>
      </c>
      <c r="F222" s="22">
        <v>999000</v>
      </c>
      <c r="G222" s="23">
        <v>1000000</v>
      </c>
    </row>
    <row r="223" spans="1:7" x14ac:dyDescent="0.3">
      <c r="A223" s="5">
        <v>45961</v>
      </c>
      <c r="B223" s="22">
        <v>995000</v>
      </c>
      <c r="C223" s="22">
        <v>1010000</v>
      </c>
      <c r="D223" s="22">
        <v>995000</v>
      </c>
      <c r="E223" s="22">
        <v>984000</v>
      </c>
      <c r="F223" s="22">
        <v>1000000</v>
      </c>
      <c r="G223" s="23">
        <v>983000</v>
      </c>
    </row>
    <row r="224" spans="1:7" x14ac:dyDescent="0.3">
      <c r="A224" s="7">
        <v>45962</v>
      </c>
      <c r="B224" s="24">
        <v>995000</v>
      </c>
      <c r="C224" s="24">
        <v>1010000</v>
      </c>
      <c r="D224" s="24">
        <v>995000</v>
      </c>
      <c r="E224" s="24">
        <v>984000</v>
      </c>
      <c r="F224" s="24">
        <v>1000000</v>
      </c>
      <c r="G224" s="25">
        <v>983000</v>
      </c>
    </row>
    <row r="225" spans="1:7" x14ac:dyDescent="0.3">
      <c r="A225" s="5">
        <v>45963</v>
      </c>
      <c r="B225" s="22">
        <v>995000</v>
      </c>
      <c r="C225" s="22">
        <v>1010000</v>
      </c>
      <c r="D225" s="22">
        <v>995000</v>
      </c>
      <c r="E225" s="22">
        <v>984000</v>
      </c>
      <c r="F225" s="22">
        <v>1000000</v>
      </c>
      <c r="G225" s="23">
        <v>983000</v>
      </c>
    </row>
    <row r="226" spans="1:7" x14ac:dyDescent="0.3">
      <c r="A226" s="5">
        <v>45964</v>
      </c>
      <c r="B226" s="22">
        <v>984000</v>
      </c>
      <c r="C226" s="22">
        <v>1066000</v>
      </c>
      <c r="D226" s="22">
        <v>984000</v>
      </c>
      <c r="E226" s="22">
        <v>1040000</v>
      </c>
      <c r="F226" s="22">
        <v>983000</v>
      </c>
      <c r="G226" s="23">
        <v>1049000</v>
      </c>
    </row>
    <row r="227" spans="1:7" x14ac:dyDescent="0.3">
      <c r="A227" s="5">
        <v>45965</v>
      </c>
      <c r="B227" s="22">
        <v>1040000</v>
      </c>
      <c r="C227" s="22">
        <v>1034000</v>
      </c>
      <c r="D227" s="22">
        <v>1040000</v>
      </c>
      <c r="E227" s="22">
        <v>1008000</v>
      </c>
      <c r="F227" s="22">
        <v>1049000</v>
      </c>
      <c r="G227" s="23">
        <v>1013000</v>
      </c>
    </row>
    <row r="228" spans="1:7" x14ac:dyDescent="0.3">
      <c r="A228" s="5">
        <v>45966</v>
      </c>
      <c r="B228" s="22">
        <v>1008000</v>
      </c>
      <c r="C228" s="22">
        <v>978000</v>
      </c>
      <c r="D228" s="22">
        <v>1008000</v>
      </c>
      <c r="E228" s="22">
        <v>952000</v>
      </c>
      <c r="F228" s="22">
        <v>1013000</v>
      </c>
      <c r="G228" s="23">
        <v>949000</v>
      </c>
    </row>
    <row r="229" spans="1:7" x14ac:dyDescent="0.3">
      <c r="A229" s="7">
        <v>45967</v>
      </c>
      <c r="B229" s="24">
        <v>952000</v>
      </c>
      <c r="C229" s="24">
        <v>989000</v>
      </c>
      <c r="D229" s="24">
        <v>952000</v>
      </c>
      <c r="E229" s="24">
        <v>963000</v>
      </c>
      <c r="F229" s="24">
        <v>949000</v>
      </c>
      <c r="G229" s="25">
        <v>964000</v>
      </c>
    </row>
    <row r="230" spans="1:7" x14ac:dyDescent="0.3">
      <c r="A230" s="5">
        <v>45968</v>
      </c>
      <c r="B230" s="22">
        <v>963000</v>
      </c>
      <c r="C230" s="22">
        <v>949000</v>
      </c>
      <c r="D230" s="22">
        <v>963000</v>
      </c>
      <c r="E230" s="22">
        <v>923000</v>
      </c>
      <c r="F230" s="22">
        <v>964000</v>
      </c>
      <c r="G230" s="23">
        <v>930000</v>
      </c>
    </row>
    <row r="231" spans="1:7" x14ac:dyDescent="0.3">
      <c r="A231" s="5">
        <v>45969</v>
      </c>
      <c r="B231" s="22">
        <v>963000</v>
      </c>
      <c r="C231" s="22">
        <v>949000</v>
      </c>
      <c r="D231" s="22">
        <v>963000</v>
      </c>
      <c r="E231" s="22">
        <v>923000</v>
      </c>
      <c r="F231" s="22">
        <v>964000</v>
      </c>
      <c r="G231" s="23">
        <v>930000</v>
      </c>
    </row>
    <row r="232" spans="1:7" x14ac:dyDescent="0.3">
      <c r="A232" s="5">
        <v>45970</v>
      </c>
      <c r="B232" s="22">
        <v>963000</v>
      </c>
      <c r="C232" s="22">
        <v>949000</v>
      </c>
      <c r="D232" s="22">
        <v>963000</v>
      </c>
      <c r="E232" s="22">
        <v>923000</v>
      </c>
      <c r="F232" s="22">
        <v>964000</v>
      </c>
      <c r="G232" s="23">
        <v>930000</v>
      </c>
    </row>
    <row r="233" spans="1:7" x14ac:dyDescent="0.3">
      <c r="A233" s="5">
        <v>45971</v>
      </c>
      <c r="B233" s="22">
        <v>923000</v>
      </c>
      <c r="C233" s="22">
        <v>989000</v>
      </c>
      <c r="D233" s="22">
        <v>923000</v>
      </c>
      <c r="E233" s="22">
        <v>963000</v>
      </c>
      <c r="F233" s="22">
        <v>930000</v>
      </c>
      <c r="G233" s="23">
        <v>964000</v>
      </c>
    </row>
    <row r="234" spans="1:7" x14ac:dyDescent="0.3">
      <c r="A234" s="7">
        <v>45972</v>
      </c>
      <c r="B234" s="24">
        <v>963000</v>
      </c>
      <c r="C234" s="24">
        <v>974000</v>
      </c>
      <c r="D234" s="24">
        <v>963000</v>
      </c>
      <c r="E234" s="24">
        <v>948000</v>
      </c>
      <c r="F234" s="24">
        <v>964000</v>
      </c>
      <c r="G234" s="25">
        <v>952000</v>
      </c>
    </row>
    <row r="235" spans="1:7" x14ac:dyDescent="0.3">
      <c r="A235" s="5">
        <v>45973</v>
      </c>
      <c r="B235" s="22">
        <v>948000</v>
      </c>
      <c r="C235" s="22">
        <v>988000</v>
      </c>
      <c r="D235" s="22">
        <v>948000</v>
      </c>
      <c r="E235" s="22">
        <v>962000</v>
      </c>
      <c r="F235" s="22">
        <v>952000</v>
      </c>
      <c r="G235" s="23">
        <v>964000</v>
      </c>
    </row>
    <row r="236" spans="1:7" x14ac:dyDescent="0.3">
      <c r="A236" s="5">
        <v>45974</v>
      </c>
      <c r="B236" s="22">
        <v>962000</v>
      </c>
      <c r="C236" s="22">
        <v>988000</v>
      </c>
      <c r="D236" s="22">
        <v>962000</v>
      </c>
      <c r="E236" s="22">
        <v>962000</v>
      </c>
      <c r="F236" s="22">
        <v>964000</v>
      </c>
      <c r="G236" s="23">
        <v>964000</v>
      </c>
    </row>
    <row r="237" spans="1:7" x14ac:dyDescent="0.3">
      <c r="A237" s="5">
        <v>45975</v>
      </c>
      <c r="B237" s="22">
        <v>964000</v>
      </c>
      <c r="C237" s="22">
        <v>983000</v>
      </c>
      <c r="D237" s="22">
        <v>964000</v>
      </c>
      <c r="E237" s="22">
        <v>959000</v>
      </c>
      <c r="F237" s="22">
        <v>962000</v>
      </c>
      <c r="G237" s="23">
        <v>962000</v>
      </c>
    </row>
    <row r="238" spans="1:7" x14ac:dyDescent="0.3">
      <c r="A238" s="5">
        <v>45976</v>
      </c>
      <c r="B238" s="22">
        <v>964000</v>
      </c>
      <c r="C238" s="22">
        <v>983000</v>
      </c>
      <c r="D238" s="22">
        <v>964000</v>
      </c>
      <c r="E238" s="22">
        <v>959000</v>
      </c>
      <c r="F238" s="22">
        <v>962000</v>
      </c>
      <c r="G238" s="23">
        <v>962000</v>
      </c>
    </row>
    <row r="239" spans="1:7" x14ac:dyDescent="0.3">
      <c r="A239" s="7">
        <v>45977</v>
      </c>
      <c r="B239" s="24">
        <v>964000</v>
      </c>
      <c r="C239" s="24">
        <v>983000</v>
      </c>
      <c r="D239" s="24">
        <v>964000</v>
      </c>
      <c r="E239" s="24">
        <v>959000</v>
      </c>
      <c r="F239" s="24">
        <v>962000</v>
      </c>
      <c r="G239" s="25">
        <v>962000</v>
      </c>
    </row>
    <row r="240" spans="1:7" x14ac:dyDescent="0.3">
      <c r="A240" s="5">
        <v>45978</v>
      </c>
      <c r="B240" s="22">
        <v>959000</v>
      </c>
      <c r="C240" s="22">
        <v>1004000</v>
      </c>
      <c r="D240" s="22">
        <v>959000</v>
      </c>
      <c r="E240" s="22">
        <v>980000</v>
      </c>
      <c r="F240" s="22">
        <v>958000</v>
      </c>
      <c r="G240" s="23">
        <v>958000</v>
      </c>
    </row>
    <row r="241" spans="1:7" x14ac:dyDescent="0.3">
      <c r="A241" s="5">
        <v>45979</v>
      </c>
      <c r="B241" s="22">
        <v>980000</v>
      </c>
      <c r="C241" s="22">
        <v>949000</v>
      </c>
      <c r="D241" s="22">
        <v>980000</v>
      </c>
      <c r="E241" s="22">
        <v>925000</v>
      </c>
      <c r="F241" s="22">
        <v>979000</v>
      </c>
      <c r="G241" s="23">
        <v>979000</v>
      </c>
    </row>
    <row r="242" spans="1:7" x14ac:dyDescent="0.3">
      <c r="A242" s="5">
        <v>45980</v>
      </c>
      <c r="B242" s="22">
        <v>925000</v>
      </c>
      <c r="C242" s="22">
        <v>928000</v>
      </c>
      <c r="D242" s="22">
        <v>925000</v>
      </c>
      <c r="E242" s="22">
        <v>904000</v>
      </c>
      <c r="F242" s="22">
        <v>923000</v>
      </c>
      <c r="G242" s="23">
        <v>897000</v>
      </c>
    </row>
    <row r="243" spans="1:7" x14ac:dyDescent="0.3">
      <c r="A243" s="5">
        <v>45981</v>
      </c>
      <c r="B243" s="22">
        <v>904000</v>
      </c>
      <c r="C243" s="22">
        <v>942000</v>
      </c>
      <c r="D243" s="22">
        <v>904000</v>
      </c>
      <c r="E243" s="22">
        <v>918000</v>
      </c>
      <c r="F243" s="22">
        <v>897000</v>
      </c>
      <c r="G243" s="23">
        <v>897000</v>
      </c>
    </row>
    <row r="244" spans="1:7" x14ac:dyDescent="0.3">
      <c r="A244" s="7">
        <v>45982</v>
      </c>
      <c r="B244" s="24">
        <v>918000</v>
      </c>
      <c r="C244" s="24">
        <v>892000</v>
      </c>
      <c r="D244" s="24">
        <v>918000</v>
      </c>
      <c r="E244" s="24">
        <v>868000</v>
      </c>
      <c r="F244" s="24">
        <v>916000</v>
      </c>
      <c r="G244" s="25">
        <v>865000</v>
      </c>
    </row>
    <row r="245" spans="1:7" x14ac:dyDescent="0.3">
      <c r="A245" s="5">
        <v>45983</v>
      </c>
      <c r="B245" s="22">
        <v>918000</v>
      </c>
      <c r="C245" s="22">
        <v>892000</v>
      </c>
      <c r="D245" s="22">
        <v>918000</v>
      </c>
      <c r="E245" s="22">
        <v>868000</v>
      </c>
      <c r="F245" s="22">
        <v>916000</v>
      </c>
      <c r="G245" s="23">
        <v>865000</v>
      </c>
    </row>
    <row r="246" spans="1:7" x14ac:dyDescent="0.3">
      <c r="A246" s="5">
        <v>45984</v>
      </c>
      <c r="B246" s="22">
        <v>918000</v>
      </c>
      <c r="C246" s="22">
        <v>892000</v>
      </c>
      <c r="D246" s="22">
        <v>918000</v>
      </c>
      <c r="E246" s="22">
        <v>868000</v>
      </c>
      <c r="F246" s="22">
        <v>916000</v>
      </c>
      <c r="G246" s="23">
        <v>865000</v>
      </c>
    </row>
    <row r="247" spans="1:7" x14ac:dyDescent="0.3">
      <c r="A247" s="5">
        <v>45985</v>
      </c>
      <c r="B247" s="22">
        <v>868000</v>
      </c>
      <c r="C247" s="22">
        <v>884000</v>
      </c>
      <c r="D247" s="22">
        <v>868000</v>
      </c>
      <c r="E247" s="22">
        <v>860000</v>
      </c>
      <c r="F247" s="22">
        <v>865000</v>
      </c>
      <c r="G247" s="23">
        <v>870000</v>
      </c>
    </row>
    <row r="248" spans="1:7" x14ac:dyDescent="0.3">
      <c r="A248" s="5">
        <v>45986</v>
      </c>
      <c r="B248" s="22">
        <v>860000</v>
      </c>
      <c r="C248" s="22">
        <v>887000</v>
      </c>
      <c r="D248" s="22">
        <v>860000</v>
      </c>
      <c r="E248" s="22">
        <v>863000</v>
      </c>
      <c r="F248" s="22">
        <v>870000</v>
      </c>
      <c r="G248" s="23">
        <v>870000</v>
      </c>
    </row>
    <row r="249" spans="1:7" x14ac:dyDescent="0.3">
      <c r="A249" s="7">
        <v>45987</v>
      </c>
      <c r="B249" s="24">
        <v>863000</v>
      </c>
      <c r="C249" s="24">
        <v>895000</v>
      </c>
      <c r="D249" s="24">
        <v>863000</v>
      </c>
      <c r="E249" s="24">
        <v>871000</v>
      </c>
      <c r="F249" s="24">
        <v>861000</v>
      </c>
      <c r="G249" s="25">
        <v>871000</v>
      </c>
    </row>
    <row r="250" spans="1:7" x14ac:dyDescent="0.3">
      <c r="A250" s="5">
        <v>45988</v>
      </c>
      <c r="B250" s="22">
        <v>871000</v>
      </c>
      <c r="C250" s="22">
        <v>888000</v>
      </c>
      <c r="D250" s="22">
        <v>871000</v>
      </c>
      <c r="E250" s="22">
        <v>864000</v>
      </c>
      <c r="F250" s="22">
        <v>871000</v>
      </c>
      <c r="G250" s="23">
        <v>871000</v>
      </c>
    </row>
    <row r="251" spans="1:7" x14ac:dyDescent="0.3">
      <c r="A251" s="5">
        <v>45989</v>
      </c>
      <c r="B251" s="22">
        <v>864000</v>
      </c>
      <c r="C251" s="22">
        <v>875000</v>
      </c>
      <c r="D251" s="22">
        <v>864000</v>
      </c>
      <c r="E251" s="22">
        <v>851000</v>
      </c>
      <c r="F251" s="22">
        <v>862000</v>
      </c>
      <c r="G251" s="23">
        <v>862000</v>
      </c>
    </row>
    <row r="252" spans="1:7" x14ac:dyDescent="0.3">
      <c r="A252" s="5">
        <v>45990</v>
      </c>
      <c r="B252" s="22">
        <v>864000</v>
      </c>
      <c r="C252" s="22">
        <v>875000</v>
      </c>
      <c r="D252" s="22">
        <v>864000</v>
      </c>
      <c r="E252" s="22">
        <v>851000</v>
      </c>
      <c r="F252" s="22">
        <v>862000</v>
      </c>
      <c r="G252" s="23">
        <v>862000</v>
      </c>
    </row>
    <row r="253" spans="1:7" x14ac:dyDescent="0.3">
      <c r="A253" s="5">
        <v>45991</v>
      </c>
      <c r="B253" s="22">
        <v>864000</v>
      </c>
      <c r="C253" s="22">
        <v>875000</v>
      </c>
      <c r="D253" s="22">
        <v>864000</v>
      </c>
      <c r="E253" s="22">
        <v>851000</v>
      </c>
      <c r="F253" s="22">
        <v>862000</v>
      </c>
      <c r="G253" s="23">
        <v>862000</v>
      </c>
    </row>
    <row r="254" spans="1:7" x14ac:dyDescent="0.3">
      <c r="A254" s="7">
        <v>45992</v>
      </c>
      <c r="B254" s="24">
        <v>851000</v>
      </c>
      <c r="C254" s="24">
        <v>836000</v>
      </c>
      <c r="D254" s="24">
        <v>851000</v>
      </c>
      <c r="E254" s="24">
        <v>812000</v>
      </c>
      <c r="F254" s="24">
        <v>849000</v>
      </c>
      <c r="G254" s="25">
        <v>830000</v>
      </c>
    </row>
    <row r="255" spans="1:7" x14ac:dyDescent="0.3">
      <c r="A255" s="5">
        <v>45993</v>
      </c>
      <c r="B255" s="22">
        <v>812000</v>
      </c>
      <c r="C255" s="22">
        <v>848000</v>
      </c>
      <c r="D255" s="22">
        <v>812000</v>
      </c>
      <c r="E255" s="22">
        <v>824000</v>
      </c>
      <c r="F255" s="22">
        <v>830000</v>
      </c>
      <c r="G255" s="23">
        <v>800000</v>
      </c>
    </row>
    <row r="256" spans="1:7" x14ac:dyDescent="0.3">
      <c r="A256" s="5">
        <v>45994</v>
      </c>
      <c r="B256" s="22">
        <v>824000</v>
      </c>
      <c r="C256" s="22">
        <v>891000</v>
      </c>
      <c r="D256" s="22">
        <v>824000</v>
      </c>
      <c r="E256" s="22">
        <v>867000</v>
      </c>
      <c r="F256" s="22">
        <v>800000</v>
      </c>
      <c r="G256" s="23">
        <v>871000</v>
      </c>
    </row>
    <row r="257" spans="1:7" x14ac:dyDescent="0.3">
      <c r="A257" s="5">
        <v>45995</v>
      </c>
      <c r="B257" s="22">
        <v>867000</v>
      </c>
      <c r="C257" s="22">
        <v>879000</v>
      </c>
      <c r="D257" s="22">
        <v>867000</v>
      </c>
      <c r="E257" s="22">
        <v>855000</v>
      </c>
      <c r="F257" s="22">
        <v>871000</v>
      </c>
      <c r="G257" s="23">
        <v>871000</v>
      </c>
    </row>
    <row r="258" spans="1:7" x14ac:dyDescent="0.3">
      <c r="A258" s="5">
        <v>45996</v>
      </c>
      <c r="B258" s="22">
        <v>855000</v>
      </c>
      <c r="C258" s="22">
        <v>913000</v>
      </c>
      <c r="D258" s="22">
        <v>855000</v>
      </c>
      <c r="E258" s="22">
        <v>889000</v>
      </c>
      <c r="F258" s="22">
        <v>853000</v>
      </c>
      <c r="G258" s="23">
        <v>893000</v>
      </c>
    </row>
    <row r="259" spans="1:7" x14ac:dyDescent="0.3">
      <c r="A259" s="7">
        <v>45997</v>
      </c>
      <c r="B259" s="24">
        <v>855000</v>
      </c>
      <c r="C259" s="24">
        <v>913000</v>
      </c>
      <c r="D259" s="24">
        <v>855000</v>
      </c>
      <c r="E259" s="24">
        <v>889000</v>
      </c>
      <c r="F259" s="24">
        <v>853000</v>
      </c>
      <c r="G259" s="25">
        <v>893000</v>
      </c>
    </row>
    <row r="260" spans="1:7" x14ac:dyDescent="0.3">
      <c r="A260" s="5">
        <v>45998</v>
      </c>
      <c r="B260" s="22">
        <v>855000</v>
      </c>
      <c r="C260" s="22">
        <v>913000</v>
      </c>
      <c r="D260" s="22">
        <v>855000</v>
      </c>
      <c r="E260" s="22">
        <v>889000</v>
      </c>
      <c r="F260" s="22">
        <v>853000</v>
      </c>
      <c r="G260" s="23">
        <v>893000</v>
      </c>
    </row>
    <row r="261" spans="1:7" x14ac:dyDescent="0.3">
      <c r="A261" s="5">
        <v>45999</v>
      </c>
      <c r="B261" s="22">
        <v>889000</v>
      </c>
      <c r="C261" s="22">
        <v>964000</v>
      </c>
      <c r="D261" s="22">
        <v>889000</v>
      </c>
      <c r="E261" s="22">
        <v>940000</v>
      </c>
      <c r="F261" s="22">
        <v>893000</v>
      </c>
      <c r="G261" s="23">
        <v>938000</v>
      </c>
    </row>
    <row r="262" spans="1:7" x14ac:dyDescent="0.3">
      <c r="A262" s="5">
        <v>46000</v>
      </c>
      <c r="B262" s="22">
        <v>940000</v>
      </c>
      <c r="C262" s="22">
        <v>984000</v>
      </c>
      <c r="D262" s="22">
        <v>940000</v>
      </c>
      <c r="E262" s="22">
        <v>960000</v>
      </c>
      <c r="F262" s="22">
        <v>938000</v>
      </c>
      <c r="G262" s="23">
        <v>956000</v>
      </c>
    </row>
    <row r="263" spans="1:7" x14ac:dyDescent="0.3">
      <c r="A263" s="5">
        <v>46001</v>
      </c>
      <c r="B263" s="22">
        <v>960000</v>
      </c>
      <c r="C263" s="22">
        <v>943000</v>
      </c>
      <c r="D263" s="22">
        <v>960000</v>
      </c>
      <c r="E263" s="22">
        <v>919000</v>
      </c>
      <c r="F263" s="22">
        <v>956000</v>
      </c>
      <c r="G263" s="23">
        <v>924000</v>
      </c>
    </row>
    <row r="264" spans="1:7" x14ac:dyDescent="0.3">
      <c r="A264" s="7">
        <v>46002</v>
      </c>
      <c r="B264" s="24">
        <v>919000</v>
      </c>
      <c r="C264" s="24">
        <v>934000</v>
      </c>
      <c r="D264" s="24">
        <v>919000</v>
      </c>
      <c r="E264" s="24">
        <v>910000</v>
      </c>
      <c r="F264" s="24">
        <v>924000</v>
      </c>
      <c r="G264" s="25">
        <v>907000</v>
      </c>
    </row>
    <row r="265" spans="1:7" x14ac:dyDescent="0.3">
      <c r="A265" s="5">
        <v>46003</v>
      </c>
      <c r="B265" s="22">
        <v>907000</v>
      </c>
      <c r="C265" s="22">
        <v>977000</v>
      </c>
      <c r="D265" s="22">
        <v>907000</v>
      </c>
      <c r="E265" s="22">
        <v>950000</v>
      </c>
      <c r="F265" s="22">
        <v>905000</v>
      </c>
      <c r="G265" s="23">
        <v>905000</v>
      </c>
    </row>
    <row r="266" spans="1:7" x14ac:dyDescent="0.3">
      <c r="A266" s="5">
        <v>46004</v>
      </c>
      <c r="B266" s="22">
        <v>907000</v>
      </c>
      <c r="C266" s="22">
        <v>977000</v>
      </c>
      <c r="D266" s="22">
        <v>907000</v>
      </c>
      <c r="E266" s="22">
        <v>950000</v>
      </c>
      <c r="F266" s="22">
        <v>905000</v>
      </c>
      <c r="G266" s="23">
        <v>905000</v>
      </c>
    </row>
    <row r="267" spans="1:7" x14ac:dyDescent="0.3">
      <c r="A267" s="5">
        <v>46005</v>
      </c>
      <c r="B267" s="22">
        <v>907000</v>
      </c>
      <c r="C267" s="22">
        <v>977000</v>
      </c>
      <c r="D267" s="22">
        <v>907000</v>
      </c>
      <c r="E267" s="22">
        <v>950000</v>
      </c>
      <c r="F267" s="22">
        <v>905000</v>
      </c>
      <c r="G267" s="23">
        <v>905000</v>
      </c>
    </row>
    <row r="268" spans="1:7" x14ac:dyDescent="0.3">
      <c r="A268" s="5">
        <v>46006</v>
      </c>
      <c r="B268" s="22">
        <v>950000</v>
      </c>
      <c r="C268" s="22">
        <v>941000</v>
      </c>
      <c r="D268" s="22">
        <v>950000</v>
      </c>
      <c r="E268" s="22">
        <v>914000</v>
      </c>
      <c r="F268" s="22">
        <v>962000</v>
      </c>
      <c r="G268" s="23">
        <v>962000</v>
      </c>
    </row>
    <row r="269" spans="1:7" x14ac:dyDescent="0.3">
      <c r="A269" s="7">
        <v>46007</v>
      </c>
      <c r="B269" s="24">
        <v>914000</v>
      </c>
      <c r="C269" s="24">
        <v>906000</v>
      </c>
      <c r="D269" s="24">
        <v>914000</v>
      </c>
      <c r="E269" s="24">
        <v>879000</v>
      </c>
      <c r="F269" s="24">
        <v>909000</v>
      </c>
      <c r="G269" s="25">
        <v>909000</v>
      </c>
    </row>
    <row r="270" spans="1:7" x14ac:dyDescent="0.3">
      <c r="A270" s="5">
        <v>46008</v>
      </c>
      <c r="B270" s="22">
        <v>879000</v>
      </c>
      <c r="C270" s="22">
        <v>895000</v>
      </c>
      <c r="D270" s="22">
        <v>879000</v>
      </c>
      <c r="E270" s="22">
        <v>868000</v>
      </c>
      <c r="F270" s="22">
        <v>875000</v>
      </c>
      <c r="G270" s="23">
        <v>876000</v>
      </c>
    </row>
    <row r="271" spans="1:7" x14ac:dyDescent="0.3">
      <c r="A271" s="5">
        <v>46009</v>
      </c>
      <c r="B271" s="22">
        <v>868000</v>
      </c>
      <c r="C271" s="22">
        <v>877000</v>
      </c>
      <c r="D271" s="22">
        <v>868000</v>
      </c>
      <c r="E271" s="22">
        <v>850000</v>
      </c>
      <c r="F271" s="22">
        <v>876000</v>
      </c>
      <c r="G271" s="23">
        <v>876000</v>
      </c>
    </row>
    <row r="272" spans="1:7" x14ac:dyDescent="0.3">
      <c r="A272" s="5">
        <v>46010</v>
      </c>
      <c r="B272" s="22">
        <v>850000</v>
      </c>
      <c r="C272" s="22">
        <v>922000</v>
      </c>
      <c r="D272" s="22">
        <v>850000</v>
      </c>
      <c r="E272" s="22">
        <v>895000</v>
      </c>
      <c r="F272" s="22">
        <v>852000</v>
      </c>
      <c r="G272" s="23">
        <v>852000</v>
      </c>
    </row>
    <row r="273" spans="1:7" x14ac:dyDescent="0.3">
      <c r="A273" s="5">
        <v>46011</v>
      </c>
      <c r="B273" s="22">
        <v>850000</v>
      </c>
      <c r="C273" s="22">
        <v>922000</v>
      </c>
      <c r="D273" s="22">
        <v>850000</v>
      </c>
      <c r="E273" s="22">
        <v>895000</v>
      </c>
      <c r="F273" s="22">
        <v>852000</v>
      </c>
      <c r="G273" s="23">
        <v>852000</v>
      </c>
    </row>
    <row r="274" spans="1:7" x14ac:dyDescent="0.3">
      <c r="A274" s="7">
        <v>46012</v>
      </c>
      <c r="B274" s="24">
        <v>850000</v>
      </c>
      <c r="C274" s="24">
        <v>922000</v>
      </c>
      <c r="D274" s="24">
        <v>850000</v>
      </c>
      <c r="E274" s="24">
        <v>895000</v>
      </c>
      <c r="F274" s="24">
        <v>852000</v>
      </c>
      <c r="G274" s="25">
        <v>852000</v>
      </c>
    </row>
    <row r="275" spans="1:7" x14ac:dyDescent="0.3">
      <c r="A275" s="5">
        <v>46013</v>
      </c>
      <c r="B275" s="22">
        <v>895000</v>
      </c>
      <c r="C275" s="22">
        <v>921000</v>
      </c>
      <c r="D275" s="22">
        <v>895000</v>
      </c>
      <c r="E275" s="22">
        <v>894000</v>
      </c>
      <c r="F275" s="22">
        <v>897000</v>
      </c>
      <c r="G275" s="23">
        <v>890000</v>
      </c>
    </row>
    <row r="276" spans="1:7" x14ac:dyDescent="0.3">
      <c r="A276" s="5">
        <v>46014</v>
      </c>
      <c r="B276" s="22">
        <v>894000</v>
      </c>
      <c r="C276" s="22">
        <v>923000</v>
      </c>
      <c r="D276" s="22">
        <v>894000</v>
      </c>
      <c r="E276" s="22">
        <v>896000</v>
      </c>
      <c r="F276" s="22">
        <v>890000</v>
      </c>
      <c r="G276" s="23">
        <v>890000</v>
      </c>
    </row>
    <row r="277" spans="1:7" x14ac:dyDescent="0.3">
      <c r="A277" s="5">
        <v>46015</v>
      </c>
      <c r="B277" s="22">
        <v>896000</v>
      </c>
      <c r="C277" s="22">
        <v>912000</v>
      </c>
      <c r="D277" s="22">
        <v>896000</v>
      </c>
      <c r="E277" s="22">
        <v>885000</v>
      </c>
      <c r="F277" s="22">
        <v>898000</v>
      </c>
      <c r="G277" s="23">
        <v>890000</v>
      </c>
    </row>
    <row r="278" spans="1:7" x14ac:dyDescent="0.3">
      <c r="A278" s="5">
        <v>46016</v>
      </c>
      <c r="B278" s="22">
        <v>896000</v>
      </c>
      <c r="C278" s="22">
        <v>912000</v>
      </c>
      <c r="D278" s="22">
        <v>896000</v>
      </c>
      <c r="E278" s="22">
        <v>885000</v>
      </c>
      <c r="F278" s="22">
        <v>898000</v>
      </c>
      <c r="G278" s="23">
        <v>890000</v>
      </c>
    </row>
    <row r="279" spans="1:7" x14ac:dyDescent="0.3">
      <c r="A279" s="7">
        <v>46017</v>
      </c>
      <c r="B279" s="24">
        <v>885000</v>
      </c>
      <c r="C279" s="24">
        <v>894000</v>
      </c>
      <c r="D279" s="24">
        <v>885000</v>
      </c>
      <c r="E279" s="24">
        <v>867000</v>
      </c>
      <c r="F279" s="24">
        <v>890000</v>
      </c>
      <c r="G279" s="25">
        <v>867000</v>
      </c>
    </row>
    <row r="280" spans="1:7" x14ac:dyDescent="0.3">
      <c r="A280" s="5">
        <v>46018</v>
      </c>
      <c r="B280" s="22">
        <v>885000</v>
      </c>
      <c r="C280" s="22">
        <v>894000</v>
      </c>
      <c r="D280" s="22">
        <v>885000</v>
      </c>
      <c r="E280" s="22">
        <v>867000</v>
      </c>
      <c r="F280" s="22">
        <v>890000</v>
      </c>
      <c r="G280" s="23">
        <v>867000</v>
      </c>
    </row>
    <row r="281" spans="1:7" x14ac:dyDescent="0.3">
      <c r="A281" s="5">
        <v>46019</v>
      </c>
      <c r="B281" s="22">
        <v>885000</v>
      </c>
      <c r="C281" s="22">
        <v>894000</v>
      </c>
      <c r="D281" s="22">
        <v>885000</v>
      </c>
      <c r="E281" s="22">
        <v>867000</v>
      </c>
      <c r="F281" s="22">
        <v>890000</v>
      </c>
      <c r="G281" s="23">
        <v>867000</v>
      </c>
    </row>
    <row r="282" spans="1:7" x14ac:dyDescent="0.3">
      <c r="A282" s="5">
        <v>46020</v>
      </c>
      <c r="B282" s="22">
        <v>867000</v>
      </c>
      <c r="C282" s="22">
        <v>975000</v>
      </c>
      <c r="D282" s="22">
        <v>867000</v>
      </c>
      <c r="E282" s="22">
        <v>948000</v>
      </c>
      <c r="F282" s="22">
        <v>867000</v>
      </c>
      <c r="G282" s="23">
        <v>950000</v>
      </c>
    </row>
    <row r="283" spans="1:7" x14ac:dyDescent="0.3">
      <c r="A283" s="5">
        <v>46021</v>
      </c>
      <c r="B283" s="22">
        <v>948000</v>
      </c>
      <c r="C283" s="22">
        <v>972000</v>
      </c>
      <c r="D283" s="22">
        <v>948000</v>
      </c>
      <c r="E283" s="22">
        <v>945000</v>
      </c>
      <c r="F283" s="22">
        <v>950000</v>
      </c>
      <c r="G283" s="23">
        <v>942000</v>
      </c>
    </row>
    <row r="284" spans="1:7" x14ac:dyDescent="0.3">
      <c r="A284" s="7">
        <v>46022</v>
      </c>
      <c r="B284" s="24">
        <v>948000</v>
      </c>
      <c r="C284" s="24">
        <v>972000</v>
      </c>
      <c r="D284" s="24">
        <v>948000</v>
      </c>
      <c r="E284" s="24">
        <v>945000</v>
      </c>
      <c r="F284" s="24">
        <v>950000</v>
      </c>
      <c r="G284" s="25">
        <v>942000</v>
      </c>
    </row>
    <row r="285" spans="1:7" x14ac:dyDescent="0.3">
      <c r="A285" s="5">
        <v>46023</v>
      </c>
      <c r="B285" s="22">
        <v>948000</v>
      </c>
      <c r="C285" s="22">
        <v>972000</v>
      </c>
      <c r="D285" s="22">
        <v>948000</v>
      </c>
      <c r="E285" s="22">
        <v>945000</v>
      </c>
      <c r="F285" s="22">
        <v>950000</v>
      </c>
      <c r="G285" s="23">
        <v>942000</v>
      </c>
    </row>
    <row r="286" spans="1:7" x14ac:dyDescent="0.3">
      <c r="A286" s="5">
        <v>46024</v>
      </c>
      <c r="B286" s="22">
        <v>945000</v>
      </c>
      <c r="C286" s="22">
        <v>973000</v>
      </c>
      <c r="D286" s="22">
        <v>945000</v>
      </c>
      <c r="E286" s="22">
        <v>946000</v>
      </c>
      <c r="F286" s="22">
        <v>942000</v>
      </c>
      <c r="G286" s="23">
        <v>947000</v>
      </c>
    </row>
    <row r="287" spans="1:7" x14ac:dyDescent="0.3">
      <c r="A287" s="5">
        <v>46025</v>
      </c>
      <c r="B287" s="22">
        <v>945000</v>
      </c>
      <c r="C287" s="22">
        <v>973000</v>
      </c>
      <c r="D287" s="22">
        <v>945000</v>
      </c>
      <c r="E287" s="22">
        <v>946000</v>
      </c>
      <c r="F287" s="22">
        <v>942000</v>
      </c>
      <c r="G287" s="23">
        <v>947000</v>
      </c>
    </row>
    <row r="288" spans="1:7" x14ac:dyDescent="0.3">
      <c r="A288" s="5">
        <v>46026</v>
      </c>
      <c r="B288" s="22">
        <v>945000</v>
      </c>
      <c r="C288" s="22">
        <v>973000</v>
      </c>
      <c r="D288" s="22">
        <v>945000</v>
      </c>
      <c r="E288" s="22">
        <v>946000</v>
      </c>
      <c r="F288" s="22">
        <v>942000</v>
      </c>
      <c r="G288" s="23">
        <v>947000</v>
      </c>
    </row>
    <row r="289" spans="1:7" x14ac:dyDescent="0.3">
      <c r="A289" s="7">
        <v>46027</v>
      </c>
      <c r="B289" s="24">
        <v>946000</v>
      </c>
      <c r="C289" s="24">
        <v>1035000</v>
      </c>
      <c r="D289" s="24">
        <v>946000</v>
      </c>
      <c r="E289" s="24">
        <v>1008000</v>
      </c>
      <c r="F289" s="24">
        <v>947000</v>
      </c>
      <c r="G289" s="25">
        <v>1015000</v>
      </c>
    </row>
    <row r="290" spans="1:7" x14ac:dyDescent="0.3">
      <c r="A290" s="5">
        <v>46028</v>
      </c>
      <c r="B290" s="22">
        <v>1008000</v>
      </c>
      <c r="C290" s="22">
        <v>1047000</v>
      </c>
      <c r="D290" s="22">
        <v>1008000</v>
      </c>
      <c r="E290" s="22">
        <v>1020000</v>
      </c>
      <c r="F290" s="22">
        <v>1015000</v>
      </c>
      <c r="G290" s="23">
        <v>1028000</v>
      </c>
    </row>
    <row r="291" spans="1:7" x14ac:dyDescent="0.3">
      <c r="A291" s="5">
        <v>46029</v>
      </c>
      <c r="B291" s="22">
        <v>1020000</v>
      </c>
      <c r="C291" s="22">
        <v>1035000</v>
      </c>
      <c r="D291" s="22">
        <v>1020000</v>
      </c>
      <c r="E291" s="22">
        <v>1008000</v>
      </c>
      <c r="F291" s="22">
        <v>1028000</v>
      </c>
      <c r="G291" s="23">
        <v>1010000</v>
      </c>
    </row>
    <row r="292" spans="1:7" x14ac:dyDescent="0.3">
      <c r="A292" s="5">
        <v>46030</v>
      </c>
      <c r="B292" s="22">
        <v>1008000</v>
      </c>
      <c r="C292" s="22">
        <v>1118000</v>
      </c>
      <c r="D292" s="22">
        <v>1008000</v>
      </c>
      <c r="E292" s="22">
        <v>1091000</v>
      </c>
      <c r="F292" s="22">
        <v>1010000</v>
      </c>
      <c r="G292" s="23">
        <v>1096000</v>
      </c>
    </row>
    <row r="293" spans="1:7" x14ac:dyDescent="0.3">
      <c r="A293" s="5">
        <v>46031</v>
      </c>
      <c r="B293" s="22">
        <v>1096000</v>
      </c>
      <c r="C293" s="22">
        <v>1234000</v>
      </c>
      <c r="D293" s="22">
        <v>1096000</v>
      </c>
      <c r="E293" s="22">
        <v>1212000</v>
      </c>
      <c r="F293" s="22">
        <v>1095000</v>
      </c>
      <c r="G293" s="23">
        <v>1206000</v>
      </c>
    </row>
    <row r="294" spans="1:7" x14ac:dyDescent="0.3">
      <c r="A294" s="7">
        <v>46032</v>
      </c>
      <c r="B294" s="24">
        <v>1096000</v>
      </c>
      <c r="C294" s="24">
        <v>1234000</v>
      </c>
      <c r="D294" s="24">
        <v>1096000</v>
      </c>
      <c r="E294" s="24">
        <v>1212000</v>
      </c>
      <c r="F294" s="24">
        <v>1095000</v>
      </c>
      <c r="G294" s="25">
        <v>1206000</v>
      </c>
    </row>
    <row r="295" spans="1:7" x14ac:dyDescent="0.3">
      <c r="A295" s="5">
        <v>46033</v>
      </c>
      <c r="B295" s="22">
        <v>1096000</v>
      </c>
      <c r="C295" s="22">
        <v>1234000</v>
      </c>
      <c r="D295" s="22">
        <v>1096000</v>
      </c>
      <c r="E295" s="22">
        <v>1212000</v>
      </c>
      <c r="F295" s="22">
        <v>1095000</v>
      </c>
      <c r="G295" s="23">
        <v>1206000</v>
      </c>
    </row>
    <row r="296" spans="1:7" x14ac:dyDescent="0.3">
      <c r="A296" s="5">
        <v>46034</v>
      </c>
      <c r="B296" s="22">
        <v>1212000</v>
      </c>
      <c r="C296" s="22">
        <v>1237000</v>
      </c>
      <c r="D296" s="22">
        <v>1212000</v>
      </c>
      <c r="E296" s="22">
        <v>1215000</v>
      </c>
      <c r="F296" s="22">
        <v>1206000</v>
      </c>
      <c r="G296" s="23">
        <v>1209000</v>
      </c>
    </row>
    <row r="297" spans="1:7" x14ac:dyDescent="0.3">
      <c r="A297" s="5">
        <v>46035</v>
      </c>
      <c r="B297" s="22">
        <v>1215000</v>
      </c>
      <c r="C297" s="22">
        <v>1307000</v>
      </c>
      <c r="D297" s="22">
        <v>1215000</v>
      </c>
      <c r="E297" s="22">
        <v>1285000</v>
      </c>
      <c r="F297" s="22">
        <v>1209000</v>
      </c>
      <c r="G297" s="23">
        <v>1209000</v>
      </c>
    </row>
    <row r="298" spans="1:7" x14ac:dyDescent="0.3">
      <c r="A298" s="5">
        <v>46036</v>
      </c>
      <c r="B298" s="22">
        <v>1285000</v>
      </c>
      <c r="C298" s="22">
        <v>1292000</v>
      </c>
      <c r="D298" s="22">
        <v>1285000</v>
      </c>
      <c r="E298" s="22">
        <v>1270000</v>
      </c>
      <c r="F298" s="22">
        <v>1288000</v>
      </c>
      <c r="G298" s="23">
        <v>1267000</v>
      </c>
    </row>
    <row r="299" spans="1:7" x14ac:dyDescent="0.3">
      <c r="A299" s="7">
        <v>46037</v>
      </c>
      <c r="B299" s="24">
        <v>1270000</v>
      </c>
      <c r="C299" s="24">
        <v>1312000</v>
      </c>
      <c r="D299" s="24">
        <v>1270000</v>
      </c>
      <c r="E299" s="24">
        <v>1290000</v>
      </c>
      <c r="F299" s="24">
        <v>1267000</v>
      </c>
      <c r="G299" s="25">
        <v>1280000</v>
      </c>
    </row>
    <row r="300" spans="1:7" x14ac:dyDescent="0.3">
      <c r="A300" s="5">
        <v>46038</v>
      </c>
      <c r="B300" s="22">
        <v>1290000</v>
      </c>
      <c r="C300" s="22">
        <v>1324000</v>
      </c>
      <c r="D300" s="22">
        <v>1290000</v>
      </c>
      <c r="E300" s="22">
        <v>1302000</v>
      </c>
      <c r="F300" s="22">
        <v>1280000</v>
      </c>
      <c r="G300" s="23">
        <v>1312000</v>
      </c>
    </row>
    <row r="301" spans="1:7" x14ac:dyDescent="0.3">
      <c r="A301" s="5">
        <v>46039</v>
      </c>
      <c r="B301" s="22">
        <v>1290000</v>
      </c>
      <c r="C301" s="22">
        <v>1324000</v>
      </c>
      <c r="D301" s="22">
        <v>1290000</v>
      </c>
      <c r="E301" s="22">
        <v>1302000</v>
      </c>
      <c r="F301" s="22">
        <v>1280000</v>
      </c>
      <c r="G301" s="23">
        <v>1312000</v>
      </c>
    </row>
    <row r="302" spans="1:7" x14ac:dyDescent="0.3">
      <c r="A302" s="5">
        <v>46040</v>
      </c>
      <c r="B302" s="22">
        <v>1290000</v>
      </c>
      <c r="C302" s="22">
        <v>1324000</v>
      </c>
      <c r="D302" s="22">
        <v>1290000</v>
      </c>
      <c r="E302" s="22">
        <v>1302000</v>
      </c>
      <c r="F302" s="22">
        <v>1280000</v>
      </c>
      <c r="G302" s="23">
        <v>1312000</v>
      </c>
    </row>
    <row r="303" spans="1:7" x14ac:dyDescent="0.3">
      <c r="A303" s="5">
        <v>46041</v>
      </c>
      <c r="B303" s="22">
        <v>1302000</v>
      </c>
      <c r="C303" s="22">
        <v>1358000</v>
      </c>
      <c r="D303" s="22">
        <v>1302000</v>
      </c>
      <c r="E303" s="22">
        <v>1336000</v>
      </c>
      <c r="F303" s="22">
        <v>1312000</v>
      </c>
      <c r="G303" s="23">
        <v>1331000</v>
      </c>
    </row>
    <row r="304" spans="1:7" x14ac:dyDescent="0.3">
      <c r="A304" s="7">
        <v>46042</v>
      </c>
      <c r="B304" s="24">
        <v>1336000</v>
      </c>
      <c r="C304" s="24">
        <v>1335000</v>
      </c>
      <c r="D304" s="24">
        <v>1336000</v>
      </c>
      <c r="E304" s="24">
        <v>1313000</v>
      </c>
      <c r="F304" s="24">
        <v>1331000</v>
      </c>
      <c r="G304" s="25">
        <v>1300000</v>
      </c>
    </row>
    <row r="305" spans="1:7" x14ac:dyDescent="0.3">
      <c r="A305" s="5">
        <v>46043</v>
      </c>
      <c r="B305" s="22">
        <v>1313000</v>
      </c>
      <c r="C305" s="22">
        <v>1346000</v>
      </c>
      <c r="D305" s="22">
        <v>1313000</v>
      </c>
      <c r="E305" s="22">
        <v>1324000</v>
      </c>
      <c r="F305" s="22">
        <v>1300000</v>
      </c>
      <c r="G305" s="23">
        <v>1325000</v>
      </c>
    </row>
    <row r="306" spans="1:7" x14ac:dyDescent="0.3">
      <c r="A306" s="5">
        <v>46044</v>
      </c>
      <c r="B306" s="22">
        <v>1324000</v>
      </c>
      <c r="C306" s="22">
        <v>1313000</v>
      </c>
      <c r="D306" s="22">
        <v>1324000</v>
      </c>
      <c r="E306" s="22">
        <v>1291000</v>
      </c>
      <c r="F306" s="22">
        <v>1325000</v>
      </c>
      <c r="G306" s="23">
        <v>1305000</v>
      </c>
    </row>
    <row r="307" spans="1:7" x14ac:dyDescent="0.3">
      <c r="A307" s="5">
        <v>46045</v>
      </c>
      <c r="B307" s="22">
        <v>1291000</v>
      </c>
      <c r="C307" s="22">
        <v>1285000</v>
      </c>
      <c r="D307" s="22">
        <v>1291000</v>
      </c>
      <c r="E307" s="22">
        <v>1263000</v>
      </c>
      <c r="F307" s="22">
        <v>1305000</v>
      </c>
      <c r="G307" s="23">
        <v>1246000</v>
      </c>
    </row>
    <row r="308" spans="1:7" x14ac:dyDescent="0.3">
      <c r="A308" s="5">
        <v>46046</v>
      </c>
      <c r="B308" s="22">
        <v>1291000</v>
      </c>
      <c r="C308" s="22">
        <v>1285000</v>
      </c>
      <c r="D308" s="22">
        <v>1291000</v>
      </c>
      <c r="E308" s="22">
        <v>1263000</v>
      </c>
      <c r="F308" s="22">
        <v>1305000</v>
      </c>
      <c r="G308" s="23">
        <v>1246000</v>
      </c>
    </row>
    <row r="309" spans="1:7" x14ac:dyDescent="0.3">
      <c r="A309" s="7">
        <v>46047</v>
      </c>
      <c r="B309" s="24">
        <v>1291000</v>
      </c>
      <c r="C309" s="24">
        <v>1285000</v>
      </c>
      <c r="D309" s="24">
        <v>1291000</v>
      </c>
      <c r="E309" s="24">
        <v>1263000</v>
      </c>
      <c r="F309" s="24">
        <v>1305000</v>
      </c>
      <c r="G309" s="25">
        <v>1246000</v>
      </c>
    </row>
    <row r="310" spans="1:7" x14ac:dyDescent="0.3">
      <c r="A310" s="5">
        <v>46048</v>
      </c>
      <c r="B310" s="22">
        <v>1263000</v>
      </c>
      <c r="C310" s="22">
        <v>1284000</v>
      </c>
      <c r="D310" s="22">
        <v>1263000</v>
      </c>
      <c r="E310" s="22">
        <v>1262000</v>
      </c>
      <c r="F310" s="22">
        <v>1246000</v>
      </c>
      <c r="G310" s="23">
        <v>1283000</v>
      </c>
    </row>
    <row r="311" spans="1:7" x14ac:dyDescent="0.3">
      <c r="A311" s="5">
        <v>46049</v>
      </c>
      <c r="B311" s="22">
        <v>1262000</v>
      </c>
      <c r="C311" s="22">
        <v>1258000</v>
      </c>
      <c r="D311" s="22">
        <v>1262000</v>
      </c>
      <c r="E311" s="22">
        <v>1236000</v>
      </c>
      <c r="F311" s="22">
        <v>1283000</v>
      </c>
      <c r="G311" s="23">
        <v>1236000</v>
      </c>
    </row>
    <row r="312" spans="1:7" x14ac:dyDescent="0.3">
      <c r="A312" s="5">
        <v>46050</v>
      </c>
      <c r="B312" s="22">
        <v>1236000</v>
      </c>
      <c r="C312" s="22">
        <v>1313000</v>
      </c>
      <c r="D312" s="22">
        <v>1236000</v>
      </c>
      <c r="E312" s="22">
        <v>1291000</v>
      </c>
      <c r="F312" s="22">
        <v>1236000</v>
      </c>
      <c r="G312" s="23">
        <v>1295000</v>
      </c>
    </row>
    <row r="313" spans="1:7" x14ac:dyDescent="0.3">
      <c r="A313" s="5">
        <v>46051</v>
      </c>
      <c r="B313" s="22">
        <v>1291000</v>
      </c>
      <c r="C313" s="22">
        <v>1330000</v>
      </c>
      <c r="D313" s="22">
        <v>1291000</v>
      </c>
      <c r="E313" s="22">
        <v>1308000</v>
      </c>
      <c r="F313" s="22">
        <v>1295000</v>
      </c>
      <c r="G313" s="23">
        <v>1312000</v>
      </c>
    </row>
    <row r="314" spans="1:7" x14ac:dyDescent="0.3">
      <c r="A314" s="7">
        <v>46052</v>
      </c>
      <c r="B314" s="24">
        <v>1308000</v>
      </c>
      <c r="C314" s="24">
        <v>1322000</v>
      </c>
      <c r="D314" s="24">
        <v>1308000</v>
      </c>
      <c r="E314" s="24">
        <v>1300000</v>
      </c>
      <c r="F314" s="24">
        <v>1312000</v>
      </c>
      <c r="G314" s="25">
        <v>1305000</v>
      </c>
    </row>
    <row r="315" spans="1:7" x14ac:dyDescent="0.3">
      <c r="A315" s="5">
        <v>46053</v>
      </c>
      <c r="B315" s="22">
        <v>1308000</v>
      </c>
      <c r="C315" s="22">
        <v>1322000</v>
      </c>
      <c r="D315" s="22">
        <v>1308000</v>
      </c>
      <c r="E315" s="22">
        <v>1300000</v>
      </c>
      <c r="F315" s="22">
        <v>1312000</v>
      </c>
      <c r="G315" s="23">
        <v>1305000</v>
      </c>
    </row>
    <row r="316" spans="1:7" x14ac:dyDescent="0.3">
      <c r="A316" s="5">
        <v>46054</v>
      </c>
      <c r="B316" s="22">
        <v>1308000</v>
      </c>
      <c r="C316" s="22">
        <v>1322000</v>
      </c>
      <c r="D316" s="22">
        <v>1308000</v>
      </c>
      <c r="E316" s="22">
        <v>1300000</v>
      </c>
      <c r="F316" s="22">
        <v>1312000</v>
      </c>
      <c r="G316" s="23">
        <v>1305000</v>
      </c>
    </row>
    <row r="317" spans="1:7" x14ac:dyDescent="0.3">
      <c r="A317" s="5">
        <v>46055</v>
      </c>
      <c r="B317" s="22">
        <v>1300000</v>
      </c>
      <c r="C317" s="22">
        <v>1265000</v>
      </c>
      <c r="D317" s="22">
        <v>1300000</v>
      </c>
      <c r="E317" s="22">
        <v>1243000</v>
      </c>
      <c r="F317" s="22">
        <v>1305000</v>
      </c>
      <c r="G317" s="23">
        <v>1238000</v>
      </c>
    </row>
    <row r="318" spans="1:7" x14ac:dyDescent="0.3">
      <c r="A318" s="5">
        <v>46056</v>
      </c>
      <c r="B318" s="22">
        <v>1243000</v>
      </c>
      <c r="C318" s="22">
        <v>1327000</v>
      </c>
      <c r="D318" s="22">
        <v>1243000</v>
      </c>
      <c r="E318" s="22">
        <v>1305000</v>
      </c>
      <c r="F318" s="22">
        <v>1238000</v>
      </c>
      <c r="G318" s="23">
        <v>1300000</v>
      </c>
    </row>
    <row r="319" spans="1:7" x14ac:dyDescent="0.3">
      <c r="A319" s="7">
        <v>46057</v>
      </c>
      <c r="B319" s="24">
        <v>1305000</v>
      </c>
      <c r="C319" s="24">
        <v>1345000</v>
      </c>
      <c r="D319" s="24">
        <v>1305000</v>
      </c>
      <c r="E319" s="24">
        <v>1323000</v>
      </c>
      <c r="F319" s="24">
        <v>1300000</v>
      </c>
      <c r="G319" s="25">
        <v>1331000</v>
      </c>
    </row>
    <row r="320" spans="1:7" x14ac:dyDescent="0.3">
      <c r="A320" s="5">
        <v>46058</v>
      </c>
      <c r="B320" s="22">
        <v>1323000</v>
      </c>
      <c r="C320" s="22">
        <v>1250000</v>
      </c>
      <c r="D320" s="22">
        <v>1323000</v>
      </c>
      <c r="E320" s="22">
        <v>1228000</v>
      </c>
      <c r="F320" s="22">
        <v>1331000</v>
      </c>
      <c r="G320" s="23">
        <v>1225000</v>
      </c>
    </row>
    <row r="321" spans="1:7" x14ac:dyDescent="0.3">
      <c r="A321" s="5">
        <v>46059</v>
      </c>
      <c r="B321" s="22">
        <v>1228000</v>
      </c>
      <c r="C321" s="22">
        <v>1202000</v>
      </c>
      <c r="D321" s="22">
        <v>1228000</v>
      </c>
      <c r="E321" s="22">
        <v>1180000</v>
      </c>
      <c r="F321" s="22">
        <v>1225000</v>
      </c>
      <c r="G321" s="23">
        <v>1189000</v>
      </c>
    </row>
    <row r="322" spans="1:7" x14ac:dyDescent="0.3">
      <c r="A322" s="5">
        <v>46060</v>
      </c>
      <c r="B322" s="22">
        <v>1228000</v>
      </c>
      <c r="C322" s="22">
        <v>1202000</v>
      </c>
      <c r="D322" s="22">
        <v>1228000</v>
      </c>
      <c r="E322" s="22">
        <v>1180000</v>
      </c>
      <c r="F322" s="22">
        <v>1225000</v>
      </c>
      <c r="G322" s="23">
        <v>1189000</v>
      </c>
    </row>
    <row r="323" spans="1:7" x14ac:dyDescent="0.3">
      <c r="A323" s="5">
        <v>46061</v>
      </c>
      <c r="B323" s="22">
        <v>1228000</v>
      </c>
      <c r="C323" s="22">
        <v>1202000</v>
      </c>
      <c r="D323" s="22">
        <v>1228000</v>
      </c>
      <c r="E323" s="22">
        <v>1180000</v>
      </c>
      <c r="F323" s="22">
        <v>1225000</v>
      </c>
      <c r="G323" s="23">
        <v>1189000</v>
      </c>
    </row>
    <row r="324" spans="1:7" x14ac:dyDescent="0.3">
      <c r="A324" s="7">
        <v>46062</v>
      </c>
      <c r="B324" s="24">
        <v>1180000</v>
      </c>
      <c r="C324" s="24">
        <v>1235000</v>
      </c>
      <c r="D324" s="24">
        <v>1180000</v>
      </c>
      <c r="E324" s="24">
        <v>1213000</v>
      </c>
      <c r="F324" s="24">
        <v>1189000</v>
      </c>
      <c r="G324" s="25">
        <v>1210000</v>
      </c>
    </row>
    <row r="325" spans="1:7" x14ac:dyDescent="0.3">
      <c r="A325" s="5">
        <v>46063</v>
      </c>
      <c r="B325" s="22">
        <v>1213000</v>
      </c>
      <c r="C325" s="22">
        <v>1167000</v>
      </c>
      <c r="D325" s="22">
        <v>1213000</v>
      </c>
      <c r="E325" s="22">
        <v>1145000</v>
      </c>
      <c r="F325" s="22">
        <v>1210000</v>
      </c>
      <c r="G325" s="23">
        <v>1152000</v>
      </c>
    </row>
    <row r="326" spans="1:7" x14ac:dyDescent="0.3">
      <c r="A326" s="5">
        <v>46064</v>
      </c>
      <c r="B326" s="22">
        <v>1145000</v>
      </c>
      <c r="C326" s="22">
        <v>1154000</v>
      </c>
      <c r="D326" s="22">
        <v>1145000</v>
      </c>
      <c r="E326" s="22">
        <v>1132000</v>
      </c>
      <c r="F326" s="22">
        <v>1152000</v>
      </c>
      <c r="G326" s="23">
        <v>1129000</v>
      </c>
    </row>
    <row r="327" spans="1:7" x14ac:dyDescent="0.3">
      <c r="A327" s="5">
        <v>46065</v>
      </c>
      <c r="B327" s="22">
        <v>1132000</v>
      </c>
      <c r="C327" s="22">
        <v>1149000</v>
      </c>
      <c r="D327" s="22">
        <v>1132000</v>
      </c>
      <c r="E327" s="22">
        <v>1127000</v>
      </c>
      <c r="F327" s="22">
        <v>1129000</v>
      </c>
      <c r="G327" s="23">
        <v>1137000</v>
      </c>
    </row>
    <row r="328" spans="1:7" x14ac:dyDescent="0.3">
      <c r="A328" s="5">
        <v>46066</v>
      </c>
      <c r="B328" s="22">
        <v>1137000</v>
      </c>
      <c r="C328" s="22">
        <v>1127000</v>
      </c>
      <c r="D328" s="22">
        <v>1137000</v>
      </c>
      <c r="E328" s="22">
        <v>1115000</v>
      </c>
      <c r="F328" s="22">
        <v>1136000</v>
      </c>
      <c r="G328" s="23">
        <v>1125000</v>
      </c>
    </row>
    <row r="329" spans="1:7" x14ac:dyDescent="0.3">
      <c r="A329" s="7">
        <v>46067</v>
      </c>
      <c r="B329" s="24">
        <v>1137000</v>
      </c>
      <c r="C329" s="24">
        <v>1127000</v>
      </c>
      <c r="D329" s="24">
        <v>1137000</v>
      </c>
      <c r="E329" s="24">
        <v>1115000</v>
      </c>
      <c r="F329" s="24">
        <v>1136000</v>
      </c>
      <c r="G329" s="25">
        <v>1125000</v>
      </c>
    </row>
    <row r="330" spans="1:7" x14ac:dyDescent="0.3">
      <c r="A330" s="5">
        <v>46068</v>
      </c>
      <c r="B330" s="22">
        <v>1137000</v>
      </c>
      <c r="C330" s="22">
        <v>1127000</v>
      </c>
      <c r="D330" s="22">
        <v>1137000</v>
      </c>
      <c r="E330" s="22">
        <v>1115000</v>
      </c>
      <c r="F330" s="22">
        <v>1136000</v>
      </c>
      <c r="G330" s="23">
        <v>1125000</v>
      </c>
    </row>
    <row r="331" spans="1:7" x14ac:dyDescent="0.3">
      <c r="A331" s="5">
        <v>46069</v>
      </c>
      <c r="B331" s="22">
        <v>1137000</v>
      </c>
      <c r="C331" s="22">
        <v>1127000</v>
      </c>
      <c r="D331" s="22">
        <v>1137000</v>
      </c>
      <c r="E331" s="22">
        <v>1115000</v>
      </c>
      <c r="F331" s="22">
        <v>1136000</v>
      </c>
      <c r="G331" s="23">
        <v>1125000</v>
      </c>
    </row>
    <row r="332" spans="1:7" x14ac:dyDescent="0.3">
      <c r="A332" s="5">
        <v>46070</v>
      </c>
      <c r="B332" s="22">
        <v>1137000</v>
      </c>
      <c r="C332" s="22">
        <v>1127000</v>
      </c>
      <c r="D332" s="22">
        <v>1137000</v>
      </c>
      <c r="E332" s="22">
        <v>1115000</v>
      </c>
      <c r="F332" s="22">
        <v>1136000</v>
      </c>
      <c r="G332" s="23">
        <v>1125000</v>
      </c>
    </row>
    <row r="333" spans="1:7" x14ac:dyDescent="0.3">
      <c r="A333" s="5">
        <v>46071</v>
      </c>
      <c r="B333" s="22">
        <v>1137000</v>
      </c>
      <c r="C333" s="22">
        <v>1127000</v>
      </c>
      <c r="D333" s="22">
        <v>1137000</v>
      </c>
      <c r="E333" s="22">
        <v>1115000</v>
      </c>
      <c r="F333" s="22">
        <v>1136000</v>
      </c>
      <c r="G333" s="23">
        <v>1125000</v>
      </c>
    </row>
    <row r="334" spans="1:7" x14ac:dyDescent="0.3">
      <c r="A334" s="7">
        <v>46072</v>
      </c>
      <c r="B334" s="24">
        <v>1115000</v>
      </c>
      <c r="C334" s="24">
        <v>1161000</v>
      </c>
      <c r="D334" s="24">
        <v>1115000</v>
      </c>
      <c r="E334" s="24">
        <v>1149000</v>
      </c>
      <c r="F334" s="24">
        <v>1125000</v>
      </c>
      <c r="G334" s="25">
        <v>1125000</v>
      </c>
    </row>
    <row r="335" spans="1:7" x14ac:dyDescent="0.3">
      <c r="A335" s="5">
        <v>46073</v>
      </c>
      <c r="B335" s="22">
        <v>1149000</v>
      </c>
      <c r="C335" s="22">
        <v>1256000</v>
      </c>
      <c r="D335" s="22">
        <v>1149000</v>
      </c>
      <c r="E335" s="22">
        <v>1244000</v>
      </c>
      <c r="F335" s="22">
        <v>1151000</v>
      </c>
      <c r="G335" s="23">
        <v>1215000</v>
      </c>
    </row>
    <row r="336" spans="1:7" x14ac:dyDescent="0.3">
      <c r="A336" s="5">
        <v>46074</v>
      </c>
      <c r="B336" s="22">
        <v>1149000</v>
      </c>
      <c r="C336" s="22">
        <v>1256000</v>
      </c>
      <c r="D336" s="22">
        <v>1149000</v>
      </c>
      <c r="E336" s="22">
        <v>1244000</v>
      </c>
      <c r="F336" s="22">
        <v>1151000</v>
      </c>
      <c r="G336" s="23">
        <v>1215000</v>
      </c>
    </row>
    <row r="337" spans="1:7" x14ac:dyDescent="0.3">
      <c r="A337" s="5">
        <v>46075</v>
      </c>
      <c r="B337" s="22">
        <v>1149000</v>
      </c>
      <c r="C337" s="22">
        <v>1256000</v>
      </c>
      <c r="D337" s="22">
        <v>1149000</v>
      </c>
      <c r="E337" s="22">
        <v>1244000</v>
      </c>
      <c r="F337" s="22">
        <v>1151000</v>
      </c>
      <c r="G337" s="23">
        <v>1215000</v>
      </c>
    </row>
    <row r="338" spans="1:7" x14ac:dyDescent="0.3">
      <c r="A338" s="5">
        <v>46076</v>
      </c>
      <c r="B338" s="22">
        <v>1244000</v>
      </c>
      <c r="C338" s="22">
        <v>1248000</v>
      </c>
      <c r="D338" s="22">
        <v>1244000</v>
      </c>
      <c r="E338" s="22">
        <v>1236000</v>
      </c>
      <c r="F338" s="22">
        <v>1215000</v>
      </c>
      <c r="G338" s="23">
        <v>1215000</v>
      </c>
    </row>
    <row r="339" spans="1:7" x14ac:dyDescent="0.3">
      <c r="A339" s="7">
        <v>46077</v>
      </c>
      <c r="B339" s="24">
        <v>1236000</v>
      </c>
      <c r="C339" s="24">
        <v>1255000</v>
      </c>
      <c r="D339" s="24">
        <v>1236000</v>
      </c>
      <c r="E339" s="24">
        <v>1243000</v>
      </c>
      <c r="F339" s="24">
        <v>1239000</v>
      </c>
      <c r="G339" s="25">
        <v>1239000</v>
      </c>
    </row>
    <row r="340" spans="1:7" x14ac:dyDescent="0.3">
      <c r="A340" s="5">
        <v>46078</v>
      </c>
      <c r="B340" s="22">
        <v>1243000</v>
      </c>
      <c r="C340" s="22">
        <v>1223000</v>
      </c>
      <c r="D340" s="22">
        <v>1243000</v>
      </c>
      <c r="E340" s="22">
        <v>1211000</v>
      </c>
      <c r="F340" s="22">
        <v>1246000</v>
      </c>
      <c r="G340" s="23">
        <v>1215000</v>
      </c>
    </row>
    <row r="341" spans="1:7" x14ac:dyDescent="0.3">
      <c r="A341" s="5">
        <v>46079</v>
      </c>
      <c r="B341" s="22">
        <v>1211000</v>
      </c>
      <c r="C341" s="22">
        <v>1224000</v>
      </c>
      <c r="D341" s="22">
        <v>1211000</v>
      </c>
      <c r="E341" s="22">
        <v>1212000</v>
      </c>
      <c r="F341" s="22">
        <v>1215000</v>
      </c>
      <c r="G341" s="23">
        <v>1215000</v>
      </c>
    </row>
    <row r="342" spans="1:7" x14ac:dyDescent="0.3">
      <c r="A342" s="5">
        <v>46080</v>
      </c>
      <c r="B342" s="22">
        <v>1212000</v>
      </c>
      <c r="C342" s="22">
        <v>1205000</v>
      </c>
      <c r="D342" s="22">
        <v>1212000</v>
      </c>
      <c r="E342" s="22">
        <v>1193000</v>
      </c>
      <c r="F342" s="22">
        <v>1214000</v>
      </c>
      <c r="G342" s="23">
        <v>1214000</v>
      </c>
    </row>
    <row r="343" spans="1:7" x14ac:dyDescent="0.3">
      <c r="A343" s="5">
        <v>46081</v>
      </c>
      <c r="B343" s="22">
        <v>1212000</v>
      </c>
      <c r="C343" s="22">
        <v>1205000</v>
      </c>
      <c r="D343" s="22">
        <v>1212000</v>
      </c>
      <c r="E343" s="22">
        <v>1193000</v>
      </c>
      <c r="F343" s="22">
        <v>1214000</v>
      </c>
      <c r="G343" s="23">
        <v>1214000</v>
      </c>
    </row>
    <row r="344" spans="1:7" x14ac:dyDescent="0.3">
      <c r="A344" s="7">
        <v>46082</v>
      </c>
      <c r="B344" s="24">
        <v>1212000</v>
      </c>
      <c r="C344" s="24">
        <v>1205000</v>
      </c>
      <c r="D344" s="24">
        <v>1212000</v>
      </c>
      <c r="E344" s="24">
        <v>1193000</v>
      </c>
      <c r="F344" s="24">
        <v>1214000</v>
      </c>
      <c r="G344" s="25">
        <v>1214000</v>
      </c>
    </row>
    <row r="345" spans="1:7" x14ac:dyDescent="0.3">
      <c r="A345" s="5">
        <v>46083</v>
      </c>
      <c r="B345" s="22">
        <v>1212000</v>
      </c>
      <c r="C345" s="22">
        <v>1205000</v>
      </c>
      <c r="D345" s="22">
        <v>1212000</v>
      </c>
      <c r="E345" s="22">
        <v>1193000</v>
      </c>
      <c r="F345" s="22">
        <v>1214000</v>
      </c>
      <c r="G345" s="23">
        <v>1214000</v>
      </c>
    </row>
    <row r="346" spans="1:7" x14ac:dyDescent="0.3">
      <c r="A346" s="5">
        <v>46084</v>
      </c>
      <c r="B346" s="22">
        <v>1193000</v>
      </c>
      <c r="C346" s="22">
        <v>1462000</v>
      </c>
      <c r="D346" s="22">
        <v>1193000</v>
      </c>
      <c r="E346" s="22">
        <v>1450000</v>
      </c>
      <c r="F346" s="22">
        <v>1195000</v>
      </c>
      <c r="G346" s="23">
        <v>1416000</v>
      </c>
    </row>
    <row r="347" spans="1:7" x14ac:dyDescent="0.3">
      <c r="A347" s="5">
        <v>46085</v>
      </c>
      <c r="B347" s="22">
        <v>1450000</v>
      </c>
      <c r="C347" s="22">
        <v>1322000</v>
      </c>
      <c r="D347" s="22">
        <v>1450000</v>
      </c>
      <c r="E347" s="22">
        <v>1310000</v>
      </c>
      <c r="F347" s="22">
        <v>1416000</v>
      </c>
      <c r="G347" s="23">
        <v>1295000</v>
      </c>
    </row>
    <row r="348" spans="1:7" x14ac:dyDescent="0.3">
      <c r="A348" s="5">
        <v>46086</v>
      </c>
      <c r="B348" s="22">
        <v>1310000</v>
      </c>
      <c r="C348" s="22">
        <v>1400000</v>
      </c>
      <c r="D348" s="22">
        <v>1310000</v>
      </c>
      <c r="E348" s="22">
        <v>1388000</v>
      </c>
      <c r="F348" s="22">
        <v>1295000</v>
      </c>
      <c r="G348" s="23">
        <v>1423000</v>
      </c>
    </row>
    <row r="349" spans="1:7" x14ac:dyDescent="0.3">
      <c r="A349" s="7">
        <v>46087</v>
      </c>
      <c r="B349" s="24">
        <v>1388000</v>
      </c>
      <c r="C349" s="24">
        <v>1501000</v>
      </c>
      <c r="D349" s="24">
        <v>1388000</v>
      </c>
      <c r="E349" s="24">
        <v>1489000</v>
      </c>
      <c r="F349" s="24">
        <v>1423000</v>
      </c>
      <c r="G349" s="25">
        <v>1493000</v>
      </c>
    </row>
    <row r="350" spans="1:7" x14ac:dyDescent="0.3">
      <c r="A350" s="5">
        <v>46088</v>
      </c>
      <c r="B350" s="22">
        <v>1388000</v>
      </c>
      <c r="C350" s="22">
        <v>1501000</v>
      </c>
      <c r="D350" s="22">
        <v>1388000</v>
      </c>
      <c r="E350" s="22">
        <v>1489000</v>
      </c>
      <c r="F350" s="22">
        <v>1423000</v>
      </c>
      <c r="G350" s="23">
        <v>1493000</v>
      </c>
    </row>
    <row r="351" spans="1:7" x14ac:dyDescent="0.3">
      <c r="A351" s="5">
        <v>46089</v>
      </c>
      <c r="B351" s="22">
        <v>1388000</v>
      </c>
      <c r="C351" s="22">
        <v>1501000</v>
      </c>
      <c r="D351" s="22">
        <v>1388000</v>
      </c>
      <c r="E351" s="22">
        <v>1489000</v>
      </c>
      <c r="F351" s="22">
        <v>1423000</v>
      </c>
      <c r="G351" s="23">
        <v>1493000</v>
      </c>
    </row>
    <row r="352" spans="1:7" x14ac:dyDescent="0.3">
      <c r="A352" s="5">
        <v>46090</v>
      </c>
      <c r="B352" s="22">
        <v>1489000</v>
      </c>
      <c r="C352" s="22">
        <v>1434000</v>
      </c>
      <c r="D352" s="22">
        <v>1489000</v>
      </c>
      <c r="E352" s="22">
        <v>1422000</v>
      </c>
      <c r="F352" s="22">
        <v>1493000</v>
      </c>
      <c r="G352" s="23">
        <v>1445000</v>
      </c>
    </row>
    <row r="353" spans="1:7" x14ac:dyDescent="0.3">
      <c r="A353" s="5">
        <v>46091</v>
      </c>
      <c r="B353" s="22">
        <v>1422000</v>
      </c>
      <c r="C353" s="22">
        <v>1462000</v>
      </c>
      <c r="D353" s="22">
        <v>1422000</v>
      </c>
      <c r="E353" s="22">
        <v>1450000</v>
      </c>
      <c r="F353" s="22">
        <v>1445000</v>
      </c>
      <c r="G353" s="23">
        <v>1461000</v>
      </c>
    </row>
    <row r="354" spans="1:7" x14ac:dyDescent="0.3">
      <c r="A354" s="7">
        <v>46092</v>
      </c>
      <c r="B354" s="24">
        <v>1450000</v>
      </c>
      <c r="C354" s="24">
        <v>1429000</v>
      </c>
      <c r="D354" s="24">
        <v>1450000</v>
      </c>
      <c r="E354" s="24">
        <v>1417000</v>
      </c>
      <c r="F354" s="24">
        <v>1461000</v>
      </c>
      <c r="G354" s="25">
        <v>1421000</v>
      </c>
    </row>
    <row r="355" spans="1:7" x14ac:dyDescent="0.3">
      <c r="A355" s="5">
        <v>46093</v>
      </c>
      <c r="B355" s="22">
        <v>1417000</v>
      </c>
      <c r="C355" s="22">
        <v>1470000</v>
      </c>
      <c r="D355" s="22">
        <v>1417000</v>
      </c>
      <c r="E355" s="22">
        <v>1458000</v>
      </c>
      <c r="F355" s="22">
        <v>1421000</v>
      </c>
      <c r="G355" s="23">
        <v>1470000</v>
      </c>
    </row>
    <row r="356" spans="1:7" x14ac:dyDescent="0.3">
      <c r="A356" s="5">
        <v>46094</v>
      </c>
      <c r="B356" s="22">
        <v>1470000</v>
      </c>
      <c r="C356" s="22">
        <v>1487000</v>
      </c>
      <c r="D356" s="22">
        <v>1470000</v>
      </c>
      <c r="E356" s="22">
        <v>1487000</v>
      </c>
      <c r="F356" s="22">
        <v>1472000</v>
      </c>
      <c r="G356" s="23">
        <v>1482000</v>
      </c>
    </row>
    <row r="357" spans="1:7" x14ac:dyDescent="0.3">
      <c r="A357" s="5">
        <v>46095</v>
      </c>
      <c r="B357" s="22">
        <v>1470000</v>
      </c>
      <c r="C357" s="22">
        <v>1487000</v>
      </c>
      <c r="D357" s="22">
        <v>1470000</v>
      </c>
      <c r="E357" s="22">
        <v>1487000</v>
      </c>
      <c r="F357" s="22">
        <v>1472000</v>
      </c>
      <c r="G357" s="23">
        <v>1482000</v>
      </c>
    </row>
    <row r="358" spans="1:7" x14ac:dyDescent="0.3">
      <c r="A358" s="5">
        <v>46096</v>
      </c>
      <c r="B358" s="22">
        <v>1470000</v>
      </c>
      <c r="C358" s="22">
        <v>1487000</v>
      </c>
      <c r="D358" s="22">
        <v>1470000</v>
      </c>
      <c r="E358" s="22">
        <v>1487000</v>
      </c>
      <c r="F358" s="22">
        <v>1472000</v>
      </c>
      <c r="G358" s="23">
        <v>1482000</v>
      </c>
    </row>
    <row r="359" spans="1:7" x14ac:dyDescent="0.3">
      <c r="A359" s="7">
        <v>46097</v>
      </c>
      <c r="B359" s="24">
        <v>1487000</v>
      </c>
      <c r="C359" s="24">
        <v>1475000</v>
      </c>
      <c r="D359" s="24">
        <v>1487000</v>
      </c>
      <c r="E359" s="24">
        <v>1475000</v>
      </c>
      <c r="F359" s="24">
        <v>1482000</v>
      </c>
      <c r="G359" s="25">
        <v>1473000</v>
      </c>
    </row>
    <row r="360" spans="1:7" x14ac:dyDescent="0.3">
      <c r="A360" s="5">
        <v>46098</v>
      </c>
      <c r="B360" s="22">
        <v>1475000</v>
      </c>
      <c r="C360" s="22">
        <v>1400000</v>
      </c>
      <c r="D360" s="22">
        <v>1475000</v>
      </c>
      <c r="E360" s="22">
        <v>1400000</v>
      </c>
      <c r="F360" s="22">
        <v>1473000</v>
      </c>
      <c r="G360" s="23">
        <v>1451000</v>
      </c>
    </row>
    <row r="361" spans="1:7" x14ac:dyDescent="0.3">
      <c r="A361" s="5">
        <v>46099</v>
      </c>
      <c r="B361" s="22">
        <v>1400000</v>
      </c>
      <c r="C361" s="22">
        <v>1387000</v>
      </c>
      <c r="D361" s="22">
        <v>1400000</v>
      </c>
      <c r="E361" s="22">
        <v>1387000</v>
      </c>
      <c r="F361" s="22">
        <v>1451000</v>
      </c>
      <c r="G361" s="23">
        <v>1451000</v>
      </c>
    </row>
    <row r="362" spans="1:7" x14ac:dyDescent="0.3">
      <c r="A362" s="5">
        <v>46100</v>
      </c>
      <c r="B362" s="22">
        <v>1387000</v>
      </c>
      <c r="C362" s="22">
        <v>1378000</v>
      </c>
      <c r="D362" s="22">
        <v>1387000</v>
      </c>
      <c r="E362" s="22">
        <v>1378000</v>
      </c>
      <c r="F362" s="22">
        <v>1391000</v>
      </c>
      <c r="G362" s="23">
        <v>1391000</v>
      </c>
    </row>
    <row r="363" spans="1:7" x14ac:dyDescent="0.3">
      <c r="A363" s="5">
        <v>46101</v>
      </c>
      <c r="B363" s="22">
        <v>1378000</v>
      </c>
      <c r="C363" s="22">
        <v>1324000</v>
      </c>
      <c r="D363" s="22">
        <v>1378000</v>
      </c>
      <c r="E363" s="22">
        <v>1324000</v>
      </c>
      <c r="F363" s="22">
        <v>1382000</v>
      </c>
      <c r="G363" s="23">
        <v>1382000</v>
      </c>
    </row>
    <row r="364" spans="1:7" x14ac:dyDescent="0.3">
      <c r="A364" s="7">
        <v>46102</v>
      </c>
      <c r="B364" s="24">
        <v>1378000</v>
      </c>
      <c r="C364" s="24">
        <v>1324000</v>
      </c>
      <c r="D364" s="24">
        <v>1378000</v>
      </c>
      <c r="E364" s="24">
        <v>1324000</v>
      </c>
      <c r="F364" s="24">
        <v>1382000</v>
      </c>
      <c r="G364" s="25">
        <v>1382000</v>
      </c>
    </row>
    <row r="365" spans="1:7" x14ac:dyDescent="0.3">
      <c r="A365" s="5">
        <v>46103</v>
      </c>
      <c r="B365" s="22">
        <v>1378000</v>
      </c>
      <c r="C365" s="22">
        <v>1324000</v>
      </c>
      <c r="D365" s="22">
        <v>1378000</v>
      </c>
      <c r="E365" s="22">
        <v>1324000</v>
      </c>
      <c r="F365" s="22">
        <v>1382000</v>
      </c>
      <c r="G365" s="23">
        <v>1382000</v>
      </c>
    </row>
    <row r="366" spans="1:7" x14ac:dyDescent="0.3">
      <c r="A366" s="5">
        <v>46104</v>
      </c>
      <c r="B366" s="22">
        <v>1324000</v>
      </c>
      <c r="C366" s="22">
        <v>1295000</v>
      </c>
      <c r="D366" s="22">
        <v>1324000</v>
      </c>
      <c r="E366" s="22">
        <v>1295000</v>
      </c>
      <c r="F366" s="22">
        <v>1327000</v>
      </c>
      <c r="G366" s="23">
        <v>1327000</v>
      </c>
    </row>
    <row r="367" spans="1:7" x14ac:dyDescent="0.3">
      <c r="A367" s="5">
        <v>46105</v>
      </c>
      <c r="B367" s="22">
        <v>1295000</v>
      </c>
      <c r="C367" s="22">
        <v>1335000</v>
      </c>
      <c r="D367" s="22">
        <v>1295000</v>
      </c>
      <c r="E367" s="22">
        <v>1335000</v>
      </c>
      <c r="F367" s="22">
        <v>1298000</v>
      </c>
      <c r="G367" s="23">
        <v>1331000</v>
      </c>
    </row>
    <row r="368" spans="1:7" x14ac:dyDescent="0.3">
      <c r="A368" s="5">
        <v>46106</v>
      </c>
      <c r="B368" s="22">
        <v>1335000</v>
      </c>
      <c r="C368" s="22">
        <v>1390000</v>
      </c>
      <c r="D368" s="22">
        <v>1335000</v>
      </c>
      <c r="E368" s="22">
        <v>1390000</v>
      </c>
      <c r="F368" s="22">
        <v>1331000</v>
      </c>
      <c r="G368" s="23">
        <v>1374000</v>
      </c>
    </row>
    <row r="369" spans="1:7" x14ac:dyDescent="0.3">
      <c r="A369" s="7">
        <v>46107</v>
      </c>
      <c r="B369" s="24">
        <v>1390000</v>
      </c>
      <c r="C369" s="24">
        <v>1366000</v>
      </c>
      <c r="D369" s="24">
        <v>1390000</v>
      </c>
      <c r="E369" s="24">
        <v>1366000</v>
      </c>
      <c r="F369" s="24">
        <v>1374000</v>
      </c>
      <c r="G369" s="25">
        <v>1366000</v>
      </c>
    </row>
    <row r="370" spans="1:7" x14ac:dyDescent="0.3">
      <c r="A370" s="5">
        <v>46108</v>
      </c>
      <c r="B370" s="22">
        <v>1366000</v>
      </c>
      <c r="C370" s="22">
        <v>1338000</v>
      </c>
      <c r="D370" s="22">
        <v>1366000</v>
      </c>
      <c r="E370" s="22">
        <v>1338000</v>
      </c>
      <c r="F370" s="22">
        <v>1366000</v>
      </c>
      <c r="G370" s="23">
        <v>1347000</v>
      </c>
    </row>
    <row r="371" spans="1:7" x14ac:dyDescent="0.3">
      <c r="A371" s="5">
        <v>46109</v>
      </c>
      <c r="B371" s="22">
        <v>1366000</v>
      </c>
      <c r="C371" s="22">
        <v>1338000</v>
      </c>
      <c r="D371" s="22">
        <v>1366000</v>
      </c>
      <c r="E371" s="22">
        <v>1338000</v>
      </c>
      <c r="F371" s="22">
        <v>1366000</v>
      </c>
      <c r="G371" s="23">
        <v>1347000</v>
      </c>
    </row>
    <row r="372" spans="1:7" x14ac:dyDescent="0.3">
      <c r="A372" s="5">
        <v>46110</v>
      </c>
      <c r="B372" s="22">
        <v>1366000</v>
      </c>
      <c r="C372" s="22">
        <v>1338000</v>
      </c>
      <c r="D372" s="22">
        <v>1366000</v>
      </c>
      <c r="E372" s="22">
        <v>1338000</v>
      </c>
      <c r="F372" s="22">
        <v>1366000</v>
      </c>
      <c r="G372" s="23">
        <v>1347000</v>
      </c>
    </row>
    <row r="373" spans="1:7" x14ac:dyDescent="0.3">
      <c r="A373" s="5">
        <v>46111</v>
      </c>
      <c r="B373" s="22">
        <v>1338000</v>
      </c>
      <c r="C373" s="22">
        <v>1310000</v>
      </c>
      <c r="D373" s="22">
        <v>1338000</v>
      </c>
      <c r="E373" s="22">
        <v>1310000</v>
      </c>
      <c r="F373" s="22">
        <v>1347000</v>
      </c>
      <c r="G373" s="23">
        <v>1320000</v>
      </c>
    </row>
    <row r="374" spans="1:7" x14ac:dyDescent="0.3">
      <c r="A374" s="7">
        <v>46112</v>
      </c>
      <c r="B374" s="24">
        <v>1310000</v>
      </c>
      <c r="C374" s="24">
        <v>1255000</v>
      </c>
      <c r="D374" s="24">
        <v>1310000</v>
      </c>
      <c r="E374" s="24">
        <v>1255000</v>
      </c>
      <c r="F374" s="24">
        <v>1320000</v>
      </c>
      <c r="G374" s="25">
        <v>1252000</v>
      </c>
    </row>
    <row r="375" spans="1:7" x14ac:dyDescent="0.3">
      <c r="A375" s="5">
        <v>46113</v>
      </c>
      <c r="B375" s="22">
        <v>1255000</v>
      </c>
      <c r="C375" s="22">
        <v>1354000</v>
      </c>
      <c r="D375" s="22">
        <v>1255000</v>
      </c>
      <c r="E375" s="22">
        <v>1354000</v>
      </c>
      <c r="F375" s="22">
        <v>1252000</v>
      </c>
      <c r="G375" s="23">
        <v>1340000</v>
      </c>
    </row>
    <row r="376" spans="1:7" x14ac:dyDescent="0.3">
      <c r="A376" s="5">
        <v>46114</v>
      </c>
      <c r="B376" s="22">
        <v>1354000</v>
      </c>
      <c r="C376" s="22">
        <v>1413000</v>
      </c>
      <c r="D376" s="22">
        <v>1354000</v>
      </c>
      <c r="E376" s="22">
        <v>1413000</v>
      </c>
      <c r="F376" s="22">
        <v>1340000</v>
      </c>
      <c r="G376" s="23">
        <v>1419000</v>
      </c>
    </row>
    <row r="377" spans="1:7" x14ac:dyDescent="0.3">
      <c r="A377" s="5">
        <v>46115</v>
      </c>
      <c r="B377" s="22">
        <v>1413000</v>
      </c>
      <c r="C377" s="22">
        <v>1447000</v>
      </c>
      <c r="D377" s="22">
        <v>1413000</v>
      </c>
      <c r="E377" s="22">
        <v>1447000</v>
      </c>
      <c r="F377" s="22">
        <v>1419000</v>
      </c>
      <c r="G377" s="23">
        <v>1451000</v>
      </c>
    </row>
    <row r="378" spans="1:7" x14ac:dyDescent="0.3">
      <c r="A378" s="5">
        <v>46116</v>
      </c>
      <c r="B378" s="22">
        <v>1413000</v>
      </c>
      <c r="C378" s="22">
        <v>1447000</v>
      </c>
      <c r="D378" s="22">
        <v>1413000</v>
      </c>
      <c r="E378" s="22">
        <v>1447000</v>
      </c>
      <c r="F378" s="22">
        <v>1419000</v>
      </c>
      <c r="G378" s="23">
        <v>1451000</v>
      </c>
    </row>
    <row r="379" spans="1:7" x14ac:dyDescent="0.3">
      <c r="A379" s="7">
        <v>46117</v>
      </c>
      <c r="B379" s="24">
        <v>1413000</v>
      </c>
      <c r="C379" s="24">
        <v>1447000</v>
      </c>
      <c r="D379" s="24">
        <v>1413000</v>
      </c>
      <c r="E379" s="24">
        <v>1447000</v>
      </c>
      <c r="F379" s="24">
        <v>1419000</v>
      </c>
      <c r="G379" s="25">
        <v>1451000</v>
      </c>
    </row>
    <row r="380" spans="1:7" x14ac:dyDescent="0.3">
      <c r="A380" s="5">
        <v>46118</v>
      </c>
      <c r="B380" s="22">
        <v>1413000</v>
      </c>
      <c r="C380" s="22">
        <v>1447000</v>
      </c>
      <c r="D380" s="22">
        <v>1413000</v>
      </c>
      <c r="E380" s="22">
        <v>1447000</v>
      </c>
      <c r="F380" s="22">
        <v>1419000</v>
      </c>
      <c r="G380" s="23">
        <v>1451000</v>
      </c>
    </row>
  </sheetData>
  <phoneticPr fontId="9" type="noConversion"/>
  <dataValidations count="6">
    <dataValidation type="list" allowBlank="1" showInputMessage="1" sqref="B7" xr:uid="{0C6D7D11-A567-4BC2-8860-4AA5A2B3A18E}">
      <formula1>"NONE,SUN,SAT,ALL"</formula1>
    </dataValidation>
    <dataValidation type="list" allowBlank="1" showInputMessage="1" sqref="B5" xr:uid="{3FC4AFB7-7F8E-4F24-861D-E8E468B59BD6}">
      <formula1>"일간,주간,월간,분기간,년간"</formula1>
    </dataValidation>
    <dataValidation type="list" allowBlank="1" showInputMessage="1" sqref="B6" xr:uid="{923E175E-7DDF-4E22-9FB5-77E9B403F9CE}">
      <formula1>"Exclusive,N/A,NULL,Previous"</formula1>
    </dataValidation>
    <dataValidation type="list" allowBlank="1" showInputMessage="1" sqref="C5" xr:uid="{5CF0010B-6B05-4C09-AA77-62E4D47B616C}">
      <formula1>"Local,KRW,USD"</formula1>
    </dataValidation>
    <dataValidation type="list" allowBlank="1" showInputMessage="1" sqref="C6" xr:uid="{70D44D74-45B0-405C-B42D-E7815111C754}">
      <formula1>"Asc,Desc"</formula1>
    </dataValidation>
    <dataValidation type="list" allowBlank="1" showInputMessage="1" sqref="C3" xr:uid="{F6DDB3D4-2862-46F0-8BB1-7E672EF1C9C3}">
      <formula1>"Default,원,천원,만원,백만원,억원,십억원"</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A1FEE-0D60-4591-AC5A-E58A6F15563F}">
  <sheetPr codeName="Sheet3"/>
  <dimension ref="A1:Z380"/>
  <sheetViews>
    <sheetView showGridLines="0" topLeftCell="A13" workbookViewId="0">
      <selection activeCell="A60" sqref="A60:XFD60"/>
    </sheetView>
  </sheetViews>
  <sheetFormatPr defaultRowHeight="16.5" x14ac:dyDescent="0.3"/>
  <cols>
    <col min="1" max="1" width="11.75" bestFit="1" customWidth="1"/>
    <col min="2" max="2" width="14.75" bestFit="1" customWidth="1"/>
    <col min="3" max="7" width="16.625" bestFit="1" customWidth="1"/>
    <col min="8" max="9" width="19.875" bestFit="1" customWidth="1"/>
    <col min="10" max="11" width="16.625" customWidth="1"/>
    <col min="12" max="13" width="11" bestFit="1" customWidth="1"/>
    <col min="14" max="14" width="8.75" bestFit="1" customWidth="1"/>
    <col min="15" max="15" width="22.875" bestFit="1" customWidth="1"/>
    <col min="16" max="16" width="17.625" bestFit="1" customWidth="1"/>
    <col min="17" max="17" width="17" style="30" bestFit="1" customWidth="1"/>
    <col min="18" max="19" width="12" bestFit="1" customWidth="1"/>
    <col min="20" max="20" width="9.875" bestFit="1" customWidth="1"/>
    <col min="24" max="24" width="12" bestFit="1" customWidth="1"/>
  </cols>
  <sheetData>
    <row r="1" spans="2:25" x14ac:dyDescent="0.3">
      <c r="Y1" t="s">
        <v>53</v>
      </c>
    </row>
    <row r="2" spans="2:25" x14ac:dyDescent="0.3">
      <c r="B2" s="1" t="s">
        <v>0</v>
      </c>
      <c r="C2" s="1"/>
      <c r="D2" s="1"/>
      <c r="E2" s="1"/>
      <c r="F2" s="1"/>
      <c r="G2" s="1"/>
      <c r="H2" s="1"/>
      <c r="I2" s="1"/>
      <c r="J2" s="1"/>
      <c r="K2" s="1"/>
    </row>
    <row r="3" spans="2:25" x14ac:dyDescent="0.3">
      <c r="B3" s="2" t="s">
        <v>1</v>
      </c>
      <c r="C3" s="2" t="s">
        <v>2</v>
      </c>
      <c r="D3" s="9" t="s">
        <v>13</v>
      </c>
      <c r="E3" s="2"/>
      <c r="F3" s="2"/>
      <c r="G3" s="2"/>
      <c r="H3" s="2"/>
      <c r="I3" s="2"/>
      <c r="J3" s="2"/>
      <c r="K3" s="2"/>
    </row>
    <row r="4" spans="2:25" x14ac:dyDescent="0.3">
      <c r="B4" s="2" t="s">
        <v>3</v>
      </c>
      <c r="C4" s="2" t="s">
        <v>2</v>
      </c>
      <c r="D4" s="2" t="s">
        <v>2</v>
      </c>
      <c r="E4" s="2"/>
      <c r="F4" s="2"/>
      <c r="G4" s="2"/>
      <c r="H4" s="2"/>
      <c r="I4" s="2"/>
      <c r="J4" s="2"/>
      <c r="K4" s="2"/>
      <c r="V4" t="s">
        <v>52</v>
      </c>
      <c r="W4">
        <v>0.09</v>
      </c>
    </row>
    <row r="5" spans="2:25" x14ac:dyDescent="0.3">
      <c r="B5" s="2" t="s">
        <v>4</v>
      </c>
      <c r="C5" s="11" t="s">
        <v>9</v>
      </c>
      <c r="D5" s="10" t="s">
        <v>11</v>
      </c>
      <c r="E5" s="2"/>
      <c r="F5" s="2"/>
      <c r="G5" s="2"/>
      <c r="H5" s="2"/>
      <c r="I5" s="2"/>
      <c r="J5" s="2"/>
      <c r="K5" s="2"/>
      <c r="V5" t="s">
        <v>54</v>
      </c>
      <c r="W5">
        <v>0.15</v>
      </c>
    </row>
    <row r="6" spans="2:25" x14ac:dyDescent="0.3">
      <c r="B6" s="2" t="s">
        <v>5</v>
      </c>
      <c r="C6" s="12" t="s">
        <v>10</v>
      </c>
      <c r="D6" s="9" t="s">
        <v>12</v>
      </c>
      <c r="E6" s="2"/>
      <c r="F6" s="2"/>
      <c r="G6" s="2"/>
      <c r="H6" s="2"/>
      <c r="I6" s="2"/>
      <c r="J6" s="2"/>
      <c r="K6" s="2"/>
      <c r="Q6" s="30" t="s">
        <v>52</v>
      </c>
      <c r="R6">
        <v>0.09</v>
      </c>
      <c r="V6" t="s">
        <v>64</v>
      </c>
      <c r="W6">
        <v>10.16427328</v>
      </c>
    </row>
    <row r="7" spans="2:25" x14ac:dyDescent="0.3">
      <c r="B7" s="2" t="s">
        <v>16</v>
      </c>
      <c r="C7" s="26" t="s">
        <v>34</v>
      </c>
      <c r="D7" s="2" t="s">
        <v>2</v>
      </c>
      <c r="E7" s="2"/>
      <c r="F7" s="2"/>
      <c r="G7" s="2"/>
      <c r="H7" s="2"/>
      <c r="I7" s="2"/>
      <c r="J7" s="2"/>
      <c r="K7" s="2"/>
      <c r="Q7" s="30" t="s">
        <v>45</v>
      </c>
      <c r="R7" s="16">
        <v>45800</v>
      </c>
    </row>
    <row r="8" spans="2:25" x14ac:dyDescent="0.3">
      <c r="B8" s="17" t="s">
        <v>17</v>
      </c>
      <c r="C8" s="17">
        <v>20250406</v>
      </c>
      <c r="D8" s="17" t="s">
        <v>18</v>
      </c>
      <c r="E8" s="17"/>
      <c r="F8" s="17"/>
      <c r="G8" s="17"/>
      <c r="H8" s="2"/>
      <c r="I8" s="2"/>
      <c r="J8" s="2"/>
      <c r="K8" s="2"/>
      <c r="Q8" s="30" t="s">
        <v>44</v>
      </c>
      <c r="R8">
        <f>(C59/D59)*10</f>
        <v>10.155320328708406</v>
      </c>
    </row>
    <row r="9" spans="2:25" x14ac:dyDescent="0.3">
      <c r="B9" s="18" t="s">
        <v>19</v>
      </c>
      <c r="C9" s="19" t="s">
        <v>35</v>
      </c>
      <c r="D9" s="19" t="s">
        <v>35</v>
      </c>
      <c r="E9" s="19" t="s">
        <v>35</v>
      </c>
      <c r="F9" s="19" t="s">
        <v>35</v>
      </c>
      <c r="G9" s="19" t="s">
        <v>35</v>
      </c>
      <c r="H9" s="4"/>
      <c r="I9" s="4"/>
      <c r="J9" s="4"/>
      <c r="K9" s="4"/>
    </row>
    <row r="10" spans="2:25" x14ac:dyDescent="0.3">
      <c r="B10" s="3" t="s">
        <v>20</v>
      </c>
      <c r="C10" s="4" t="s">
        <v>36</v>
      </c>
      <c r="D10" s="4" t="s">
        <v>36</v>
      </c>
      <c r="E10" s="4" t="s">
        <v>36</v>
      </c>
      <c r="F10" s="4" t="s">
        <v>36</v>
      </c>
      <c r="G10" s="4" t="s">
        <v>36</v>
      </c>
      <c r="H10" s="4"/>
      <c r="I10" s="4"/>
      <c r="J10" s="4"/>
      <c r="K10" s="4"/>
    </row>
    <row r="11" spans="2:25" x14ac:dyDescent="0.3">
      <c r="B11" s="3" t="s">
        <v>21</v>
      </c>
      <c r="C11" s="4" t="s">
        <v>37</v>
      </c>
      <c r="D11" s="4" t="s">
        <v>37</v>
      </c>
      <c r="E11" s="4" t="s">
        <v>37</v>
      </c>
      <c r="F11" s="4" t="s">
        <v>37</v>
      </c>
      <c r="G11" s="4" t="s">
        <v>37</v>
      </c>
      <c r="H11" s="4"/>
      <c r="I11" s="4"/>
      <c r="J11" s="4"/>
      <c r="K11" s="4"/>
      <c r="P11" t="s">
        <v>70</v>
      </c>
      <c r="T11" t="s">
        <v>68</v>
      </c>
    </row>
    <row r="12" spans="2:25" x14ac:dyDescent="0.3">
      <c r="B12" s="3" t="s">
        <v>3</v>
      </c>
      <c r="C12" s="4" t="s">
        <v>38</v>
      </c>
      <c r="D12" s="4" t="s">
        <v>39</v>
      </c>
      <c r="E12" s="4" t="s">
        <v>40</v>
      </c>
      <c r="F12" s="4" t="s">
        <v>42</v>
      </c>
      <c r="G12" s="4" t="s">
        <v>43</v>
      </c>
      <c r="H12" s="4"/>
      <c r="I12" s="4"/>
      <c r="J12" s="4"/>
      <c r="K12" s="4"/>
      <c r="P12" t="s">
        <v>69</v>
      </c>
    </row>
    <row r="13" spans="2:25" x14ac:dyDescent="0.3">
      <c r="B13" s="3" t="s">
        <v>6</v>
      </c>
      <c r="C13" s="4" t="s">
        <v>7</v>
      </c>
      <c r="D13" s="4" t="s">
        <v>8</v>
      </c>
      <c r="E13" s="4" t="s">
        <v>41</v>
      </c>
      <c r="F13" s="4" t="s">
        <v>15</v>
      </c>
      <c r="G13" s="4" t="s">
        <v>14</v>
      </c>
      <c r="H13" s="4"/>
      <c r="I13" s="4"/>
      <c r="J13" s="4"/>
      <c r="K13" s="4"/>
    </row>
    <row r="14" spans="2:25" x14ac:dyDescent="0.3">
      <c r="B14" s="20" t="s">
        <v>4</v>
      </c>
      <c r="C14" s="21" t="s">
        <v>27</v>
      </c>
      <c r="D14" s="21" t="s">
        <v>27</v>
      </c>
      <c r="E14" s="21" t="s">
        <v>27</v>
      </c>
      <c r="F14" s="21" t="s">
        <v>27</v>
      </c>
      <c r="G14" s="21" t="s">
        <v>27</v>
      </c>
      <c r="H14" s="4" t="s">
        <v>56</v>
      </c>
      <c r="I14" s="4" t="s">
        <v>57</v>
      </c>
      <c r="J14" s="4" t="s">
        <v>58</v>
      </c>
      <c r="K14" s="4" t="s">
        <v>59</v>
      </c>
      <c r="L14" s="4" t="s">
        <v>46</v>
      </c>
      <c r="M14" s="4" t="s">
        <v>47</v>
      </c>
      <c r="N14" s="4" t="s">
        <v>48</v>
      </c>
      <c r="O14" s="4" t="s">
        <v>62</v>
      </c>
      <c r="P14" s="4" t="s">
        <v>63</v>
      </c>
      <c r="Q14" s="31" t="s">
        <v>66</v>
      </c>
      <c r="R14" s="31" t="s">
        <v>67</v>
      </c>
      <c r="S14" s="4" t="s">
        <v>64</v>
      </c>
      <c r="T14" s="4" t="s">
        <v>71</v>
      </c>
    </row>
    <row r="15" spans="2:25" x14ac:dyDescent="0.3">
      <c r="B15" s="5">
        <v>45753</v>
      </c>
      <c r="C15" s="6">
        <v>702000</v>
      </c>
      <c r="D15" s="6">
        <v>691264</v>
      </c>
      <c r="E15" s="6">
        <v>697000</v>
      </c>
      <c r="F15" s="6">
        <v>422746</v>
      </c>
      <c r="G15" s="6">
        <v>295403486500</v>
      </c>
      <c r="H15" s="6"/>
      <c r="I15" s="6"/>
      <c r="J15" s="6"/>
      <c r="K15" s="6"/>
      <c r="R15" s="30"/>
    </row>
    <row r="16" spans="2:25" x14ac:dyDescent="0.3">
      <c r="B16" s="5">
        <v>45754</v>
      </c>
      <c r="C16" s="6">
        <v>642000</v>
      </c>
      <c r="D16" s="6">
        <v>632181</v>
      </c>
      <c r="E16" s="6">
        <v>702000</v>
      </c>
      <c r="F16" s="6">
        <v>412797</v>
      </c>
      <c r="G16" s="6">
        <v>268403522500</v>
      </c>
      <c r="H16" s="6"/>
      <c r="I16" s="6"/>
      <c r="J16" s="6"/>
      <c r="K16" s="6"/>
      <c r="R16" s="30"/>
    </row>
    <row r="17" spans="1:21" x14ac:dyDescent="0.3">
      <c r="B17" s="5">
        <v>45755</v>
      </c>
      <c r="C17" s="6">
        <v>698000</v>
      </c>
      <c r="D17" s="6">
        <v>687325</v>
      </c>
      <c r="E17" s="6">
        <v>642000</v>
      </c>
      <c r="F17" s="6">
        <v>558169</v>
      </c>
      <c r="G17" s="6">
        <v>384305376000</v>
      </c>
      <c r="H17" s="6"/>
      <c r="I17" s="6"/>
      <c r="J17" s="6"/>
      <c r="K17" s="6"/>
      <c r="R17" s="30"/>
    </row>
    <row r="18" spans="1:21" x14ac:dyDescent="0.3">
      <c r="B18" s="5">
        <v>45756</v>
      </c>
      <c r="C18" s="6">
        <v>691000</v>
      </c>
      <c r="D18" s="6">
        <v>680432</v>
      </c>
      <c r="E18" s="6">
        <v>698000</v>
      </c>
      <c r="F18" s="6">
        <v>411172</v>
      </c>
      <c r="G18" s="6">
        <v>284251921500</v>
      </c>
      <c r="H18" s="6"/>
      <c r="I18" s="6"/>
      <c r="J18" s="6"/>
      <c r="K18" s="6"/>
      <c r="R18" s="30"/>
    </row>
    <row r="19" spans="1:21" x14ac:dyDescent="0.3">
      <c r="B19" s="7">
        <v>45757</v>
      </c>
      <c r="C19" s="8">
        <v>740000</v>
      </c>
      <c r="D19" s="8">
        <v>728682</v>
      </c>
      <c r="E19" s="8">
        <v>691000</v>
      </c>
      <c r="F19" s="8">
        <v>410554</v>
      </c>
      <c r="G19" s="8">
        <v>299795966500</v>
      </c>
      <c r="H19" s="6"/>
      <c r="I19" s="6"/>
      <c r="J19" s="6"/>
      <c r="K19" s="6"/>
      <c r="R19" s="30"/>
    </row>
    <row r="20" spans="1:21" x14ac:dyDescent="0.3">
      <c r="B20" s="5">
        <v>45758</v>
      </c>
      <c r="C20" s="6">
        <v>779000</v>
      </c>
      <c r="D20" s="6">
        <v>767086</v>
      </c>
      <c r="E20" s="6">
        <v>740000</v>
      </c>
      <c r="F20" s="6">
        <v>379557</v>
      </c>
      <c r="G20" s="6">
        <v>290769631500</v>
      </c>
      <c r="H20" s="6"/>
      <c r="I20" s="6"/>
      <c r="J20" s="6"/>
      <c r="K20" s="6"/>
      <c r="R20" s="30"/>
    </row>
    <row r="21" spans="1:21" x14ac:dyDescent="0.3">
      <c r="B21" s="5">
        <v>45759</v>
      </c>
      <c r="C21" s="6">
        <v>779000</v>
      </c>
      <c r="D21" s="6">
        <v>767086</v>
      </c>
      <c r="E21" s="6">
        <v>740000</v>
      </c>
      <c r="F21" s="6">
        <v>379557</v>
      </c>
      <c r="G21" s="6">
        <v>290769631500</v>
      </c>
      <c r="H21" s="6"/>
      <c r="I21" s="6"/>
      <c r="J21" s="6"/>
      <c r="K21" s="6"/>
      <c r="R21" s="30"/>
    </row>
    <row r="22" spans="1:21" x14ac:dyDescent="0.3">
      <c r="B22" s="5">
        <v>45760</v>
      </c>
      <c r="C22" s="6">
        <v>779000</v>
      </c>
      <c r="D22" s="6">
        <v>767086</v>
      </c>
      <c r="E22" s="6">
        <v>740000</v>
      </c>
      <c r="F22" s="6">
        <v>379557</v>
      </c>
      <c r="G22" s="6">
        <v>290769631500</v>
      </c>
      <c r="H22" s="6"/>
      <c r="I22" s="6"/>
      <c r="J22" s="6"/>
      <c r="K22" s="6"/>
      <c r="R22" s="30"/>
    </row>
    <row r="23" spans="1:21" x14ac:dyDescent="0.3">
      <c r="B23" s="5">
        <v>45761</v>
      </c>
      <c r="C23" s="6">
        <v>792000</v>
      </c>
      <c r="D23" s="6">
        <v>779887</v>
      </c>
      <c r="E23" s="6">
        <v>779000</v>
      </c>
      <c r="F23" s="6">
        <v>270675</v>
      </c>
      <c r="G23" s="6">
        <v>214277207500</v>
      </c>
      <c r="H23" s="6"/>
      <c r="I23" s="6"/>
      <c r="J23" s="6"/>
      <c r="K23" s="6"/>
      <c r="R23" s="30"/>
    </row>
    <row r="24" spans="1:21" x14ac:dyDescent="0.3">
      <c r="B24" s="7">
        <v>45762</v>
      </c>
      <c r="C24" s="8">
        <v>771000</v>
      </c>
      <c r="D24" s="8">
        <v>759208</v>
      </c>
      <c r="E24" s="8">
        <v>792000</v>
      </c>
      <c r="F24" s="8">
        <v>253411</v>
      </c>
      <c r="G24" s="8">
        <v>196112725500</v>
      </c>
      <c r="H24" s="6"/>
      <c r="I24" s="6"/>
      <c r="J24" s="6"/>
      <c r="K24" s="6"/>
      <c r="R24" s="30"/>
    </row>
    <row r="25" spans="1:21" x14ac:dyDescent="0.3">
      <c r="B25" s="5">
        <v>45763</v>
      </c>
      <c r="C25" s="6">
        <v>788000</v>
      </c>
      <c r="D25" s="6">
        <v>775948</v>
      </c>
      <c r="E25" s="6">
        <v>771000</v>
      </c>
      <c r="F25" s="6">
        <v>257199</v>
      </c>
      <c r="G25" s="6">
        <v>201694988000</v>
      </c>
      <c r="H25" s="6"/>
      <c r="I25" s="6"/>
      <c r="J25" s="6"/>
      <c r="K25" s="6"/>
      <c r="R25" s="30"/>
    </row>
    <row r="26" spans="1:21" x14ac:dyDescent="0.3">
      <c r="B26" s="5">
        <v>45764</v>
      </c>
      <c r="C26" s="6">
        <v>816000</v>
      </c>
      <c r="D26" s="6">
        <v>803520</v>
      </c>
      <c r="E26" s="6">
        <v>788000</v>
      </c>
      <c r="F26" s="6">
        <v>325239</v>
      </c>
      <c r="G26" s="6">
        <v>259904194500</v>
      </c>
      <c r="H26" s="6"/>
      <c r="I26" s="6"/>
      <c r="J26" s="6"/>
      <c r="K26" s="6"/>
      <c r="R26" s="30"/>
    </row>
    <row r="27" spans="1:21" x14ac:dyDescent="0.3">
      <c r="A27" t="s">
        <v>72</v>
      </c>
      <c r="B27" s="5">
        <v>45765</v>
      </c>
      <c r="C27" s="6">
        <v>828000</v>
      </c>
      <c r="D27" s="6">
        <v>815336</v>
      </c>
      <c r="E27" s="6">
        <v>816000</v>
      </c>
      <c r="F27" s="6">
        <v>351310</v>
      </c>
      <c r="G27" s="6">
        <v>295214147000</v>
      </c>
      <c r="H27" s="6"/>
      <c r="I27" s="6"/>
      <c r="J27" s="6"/>
      <c r="K27" s="6"/>
      <c r="R27" s="30"/>
    </row>
    <row r="28" spans="1:21" x14ac:dyDescent="0.3">
      <c r="B28" s="5">
        <v>45766</v>
      </c>
      <c r="C28" s="6">
        <v>828000</v>
      </c>
      <c r="D28" s="6">
        <v>815336</v>
      </c>
      <c r="E28" s="6">
        <v>816000</v>
      </c>
      <c r="F28" s="6">
        <v>351310</v>
      </c>
      <c r="G28" s="6">
        <v>295214147000</v>
      </c>
      <c r="H28" s="6"/>
      <c r="I28" s="6"/>
      <c r="J28" s="6"/>
      <c r="K28" s="6"/>
      <c r="R28" s="30"/>
    </row>
    <row r="29" spans="1:21" x14ac:dyDescent="0.3">
      <c r="B29" s="7">
        <v>45767</v>
      </c>
      <c r="C29" s="8">
        <v>828000</v>
      </c>
      <c r="D29" s="8">
        <v>815336</v>
      </c>
      <c r="E29" s="8">
        <v>816000</v>
      </c>
      <c r="F29" s="8">
        <v>351310</v>
      </c>
      <c r="G29" s="8">
        <v>295214147000</v>
      </c>
      <c r="H29" s="6"/>
      <c r="I29" s="6"/>
      <c r="J29" s="6"/>
      <c r="K29" s="6"/>
      <c r="R29" s="30"/>
    </row>
    <row r="30" spans="1:21" x14ac:dyDescent="0.3">
      <c r="B30" s="5">
        <v>45768</v>
      </c>
      <c r="C30" s="6">
        <v>830000</v>
      </c>
      <c r="D30" s="6">
        <v>817306</v>
      </c>
      <c r="E30" s="6">
        <v>828000</v>
      </c>
      <c r="F30" s="6">
        <v>198259</v>
      </c>
      <c r="G30" s="6">
        <v>164615140500</v>
      </c>
      <c r="H30" s="6">
        <f t="shared" ref="H30:H58" si="0">CEILING(SUM(G1:G30)/SUM(F1:F30),1000)</f>
        <v>758000</v>
      </c>
      <c r="I30" s="6">
        <f t="shared" ref="I30:I58" si="1">SUM(G24:G30)/SUM(F24:F30)</f>
        <v>817978.1639510392</v>
      </c>
      <c r="J30" s="6">
        <f>C30</f>
        <v>830000</v>
      </c>
      <c r="K30" s="6">
        <f>C29+L30*$R$6/(1+$R$6)</f>
        <v>883568.80733944953</v>
      </c>
      <c r="L30">
        <f t="shared" ref="L30:L58" si="2">CEILING(MIN(AVERAGE(H30,I30,J30),J30)*(1-$W$5)/(1+$W$4*$W$5),1000)</f>
        <v>673000</v>
      </c>
      <c r="M30">
        <f>CEILING(MIN(AVERAGE(H30,I30,J30),J30)*(1-$W$5)/(1+$W$4*$W$5),1000)</f>
        <v>673000</v>
      </c>
      <c r="N30">
        <f>CEILING(MIN(AVERAGE(H30,I30,J30),J30)*(1-$W$5)/(1+$W$4*$W$5),1000)</f>
        <v>673000</v>
      </c>
      <c r="O30">
        <f>MAX(MIN(L30,M30),N30*0.6)</f>
        <v>673000</v>
      </c>
      <c r="P30">
        <f>Q30-O30</f>
        <v>157000</v>
      </c>
      <c r="Q30" s="30">
        <f>VLOOKUP(B30,Sheet2!$A$15:$G$380,5,FALSE)*S30/10</f>
        <v>830000</v>
      </c>
      <c r="R30" s="30">
        <f>VLOOKUP(B30,Sheet2!$A$15:$G$380,7,FALSE)*S30/10</f>
        <v>828000</v>
      </c>
      <c r="S30">
        <v>10</v>
      </c>
      <c r="T30" s="33">
        <f>(Q30-C30)/C30</f>
        <v>0</v>
      </c>
      <c r="U30" s="33">
        <f>(R30-C30)/C30</f>
        <v>-2.4096385542168677E-3</v>
      </c>
    </row>
    <row r="31" spans="1:21" x14ac:dyDescent="0.3">
      <c r="B31" s="5">
        <v>45769</v>
      </c>
      <c r="C31" s="6">
        <v>830000</v>
      </c>
      <c r="D31" s="6">
        <v>817306</v>
      </c>
      <c r="E31" s="6">
        <v>830000</v>
      </c>
      <c r="F31" s="6">
        <v>151172</v>
      </c>
      <c r="G31" s="6">
        <v>126100062000</v>
      </c>
      <c r="H31" s="6">
        <f t="shared" si="0"/>
        <v>760000</v>
      </c>
      <c r="I31" s="6">
        <f t="shared" si="1"/>
        <v>824835.1550182068</v>
      </c>
      <c r="J31" s="6">
        <f t="shared" ref="J31:J94" si="3">C31</f>
        <v>830000</v>
      </c>
      <c r="K31" s="6">
        <f t="shared" ref="K31:K59" si="4">C30+L31*$R$6/(1+$R$6)</f>
        <v>885816.51376146788</v>
      </c>
      <c r="L31">
        <f t="shared" si="2"/>
        <v>676000</v>
      </c>
      <c r="M31">
        <f t="shared" ref="M31:M94" si="5">CEILING(MIN(AVERAGE(H31,I31,J31),J31)*(1-$W$5)/(1+$W$4*$W$5),1000)</f>
        <v>676000</v>
      </c>
      <c r="N31">
        <f t="shared" ref="N31:N94" si="6">CEILING(MIN(AVERAGE(H31,I31,J31),J31)*(1-$W$5)/(1+$W$4*$W$5),1000)</f>
        <v>676000</v>
      </c>
      <c r="O31">
        <f t="shared" ref="O31:O94" si="7">MAX(MIN(L31,M31),N31*0.6)</f>
        <v>676000</v>
      </c>
      <c r="P31">
        <f t="shared" ref="P31:P94" si="8">Q31-O31</f>
        <v>156000</v>
      </c>
      <c r="Q31" s="30">
        <f>VLOOKUP(B31,Sheet2!$A$15:$G$380,5,FALSE)*S31/10</f>
        <v>832000</v>
      </c>
      <c r="R31" s="30">
        <f>VLOOKUP(B31,Sheet2!$A$15:$G$380,7,FALSE)*S31/10</f>
        <v>830000</v>
      </c>
      <c r="S31">
        <v>10</v>
      </c>
      <c r="T31" s="33">
        <f t="shared" ref="T31:T94" si="9">(Q31-C31)/C31</f>
        <v>2.4096385542168677E-3</v>
      </c>
      <c r="U31" s="33">
        <f t="shared" ref="U31:U94" si="10">(R31-C31)/C31</f>
        <v>0</v>
      </c>
    </row>
    <row r="32" spans="1:21" x14ac:dyDescent="0.3">
      <c r="B32" s="5">
        <v>45770</v>
      </c>
      <c r="C32" s="6">
        <v>814000</v>
      </c>
      <c r="D32" s="6">
        <v>801551</v>
      </c>
      <c r="E32" s="6">
        <v>830000</v>
      </c>
      <c r="F32" s="6">
        <v>191206</v>
      </c>
      <c r="G32" s="6">
        <v>157025572500</v>
      </c>
      <c r="H32" s="6">
        <f t="shared" si="0"/>
        <v>762000</v>
      </c>
      <c r="I32" s="6">
        <f t="shared" si="1"/>
        <v>829921.04957480077</v>
      </c>
      <c r="J32" s="6">
        <f t="shared" si="3"/>
        <v>814000</v>
      </c>
      <c r="K32" s="6">
        <f t="shared" si="4"/>
        <v>885568.80733944953</v>
      </c>
      <c r="L32">
        <f t="shared" si="2"/>
        <v>673000</v>
      </c>
      <c r="M32">
        <f t="shared" si="5"/>
        <v>673000</v>
      </c>
      <c r="N32">
        <f t="shared" si="6"/>
        <v>673000</v>
      </c>
      <c r="O32">
        <f t="shared" si="7"/>
        <v>673000</v>
      </c>
      <c r="P32">
        <f t="shared" si="8"/>
        <v>142000</v>
      </c>
      <c r="Q32" s="30">
        <f>VLOOKUP(B32,Sheet2!$A$15:$G$380,5,FALSE)*S32/10</f>
        <v>815000</v>
      </c>
      <c r="R32" s="30">
        <f>VLOOKUP(B32,Sheet2!$A$15:$G$380,7,FALSE)*S32/10</f>
        <v>806000</v>
      </c>
      <c r="S32">
        <v>10</v>
      </c>
      <c r="T32" s="33">
        <f t="shared" si="9"/>
        <v>1.2285012285012285E-3</v>
      </c>
      <c r="U32" s="33">
        <f t="shared" si="10"/>
        <v>-9.8280098280098278E-3</v>
      </c>
    </row>
    <row r="33" spans="2:21" x14ac:dyDescent="0.3">
      <c r="B33" s="5">
        <v>45771</v>
      </c>
      <c r="C33" s="6">
        <v>824000</v>
      </c>
      <c r="D33" s="6">
        <v>811398</v>
      </c>
      <c r="E33" s="6">
        <v>814000</v>
      </c>
      <c r="F33" s="6">
        <v>164949</v>
      </c>
      <c r="G33" s="6">
        <v>135585771000</v>
      </c>
      <c r="H33" s="6">
        <f t="shared" si="0"/>
        <v>763000</v>
      </c>
      <c r="I33" s="6">
        <f t="shared" si="1"/>
        <v>834871.05942770629</v>
      </c>
      <c r="J33" s="6">
        <f t="shared" si="3"/>
        <v>824000</v>
      </c>
      <c r="K33" s="6">
        <f t="shared" si="4"/>
        <v>869981.65137614682</v>
      </c>
      <c r="L33">
        <f t="shared" si="2"/>
        <v>678000</v>
      </c>
      <c r="M33">
        <f t="shared" si="5"/>
        <v>678000</v>
      </c>
      <c r="N33">
        <f t="shared" si="6"/>
        <v>678000</v>
      </c>
      <c r="O33">
        <f t="shared" si="7"/>
        <v>678000</v>
      </c>
      <c r="P33">
        <f t="shared" si="8"/>
        <v>146000</v>
      </c>
      <c r="Q33" s="30">
        <f>VLOOKUP(B33,Sheet2!$A$15:$G$380,5,FALSE)*S33/10</f>
        <v>824000</v>
      </c>
      <c r="R33" s="30">
        <f>VLOOKUP(B33,Sheet2!$A$15:$G$380,7,FALSE)*S33/10</f>
        <v>826000</v>
      </c>
      <c r="S33">
        <v>10</v>
      </c>
      <c r="T33" s="33">
        <f t="shared" si="9"/>
        <v>0</v>
      </c>
      <c r="U33" s="33">
        <f t="shared" si="10"/>
        <v>2.4271844660194173E-3</v>
      </c>
    </row>
    <row r="34" spans="2:21" x14ac:dyDescent="0.3">
      <c r="B34" s="7">
        <v>45772</v>
      </c>
      <c r="C34" s="8">
        <v>824000</v>
      </c>
      <c r="D34" s="8">
        <v>811398</v>
      </c>
      <c r="E34" s="8">
        <v>824000</v>
      </c>
      <c r="F34" s="8">
        <v>242091</v>
      </c>
      <c r="G34" s="8">
        <v>198582335000</v>
      </c>
      <c r="H34" s="6">
        <f t="shared" si="0"/>
        <v>766000</v>
      </c>
      <c r="I34" s="6">
        <f t="shared" si="1"/>
        <v>831569.81743286212</v>
      </c>
      <c r="J34" s="6">
        <f t="shared" si="3"/>
        <v>824000</v>
      </c>
      <c r="K34" s="6">
        <f t="shared" si="4"/>
        <v>879899.08256880729</v>
      </c>
      <c r="L34">
        <f t="shared" si="2"/>
        <v>677000</v>
      </c>
      <c r="M34">
        <f t="shared" si="5"/>
        <v>677000</v>
      </c>
      <c r="N34">
        <f t="shared" si="6"/>
        <v>677000</v>
      </c>
      <c r="O34">
        <f t="shared" si="7"/>
        <v>677000</v>
      </c>
      <c r="P34">
        <f t="shared" si="8"/>
        <v>146000</v>
      </c>
      <c r="Q34" s="30">
        <f>VLOOKUP(B34,Sheet2!$A$15:$G$380,5,FALSE)*S34/10</f>
        <v>823000</v>
      </c>
      <c r="R34" s="30">
        <f>VLOOKUP(B34,Sheet2!$A$15:$G$380,7,FALSE)*S34/10</f>
        <v>822000</v>
      </c>
      <c r="S34">
        <v>10</v>
      </c>
      <c r="T34" s="33">
        <f t="shared" si="9"/>
        <v>-1.2135922330097086E-3</v>
      </c>
      <c r="U34" s="33">
        <f t="shared" si="10"/>
        <v>-2.4271844660194173E-3</v>
      </c>
    </row>
    <row r="35" spans="2:21" x14ac:dyDescent="0.3">
      <c r="B35" s="5">
        <v>45773</v>
      </c>
      <c r="C35" s="6">
        <v>824000</v>
      </c>
      <c r="D35" s="6">
        <v>811398</v>
      </c>
      <c r="E35" s="6">
        <v>824000</v>
      </c>
      <c r="F35" s="6">
        <v>242091</v>
      </c>
      <c r="G35" s="6">
        <v>198582335000</v>
      </c>
      <c r="H35" s="6">
        <f t="shared" si="0"/>
        <v>768000</v>
      </c>
      <c r="I35" s="6">
        <f t="shared" si="1"/>
        <v>827800.64539238112</v>
      </c>
      <c r="J35" s="6">
        <f t="shared" si="3"/>
        <v>824000</v>
      </c>
      <c r="K35" s="6">
        <f t="shared" si="4"/>
        <v>879899.08256880729</v>
      </c>
      <c r="L35">
        <f t="shared" si="2"/>
        <v>677000</v>
      </c>
      <c r="M35">
        <f t="shared" si="5"/>
        <v>677000</v>
      </c>
      <c r="N35">
        <f t="shared" si="6"/>
        <v>677000</v>
      </c>
      <c r="O35">
        <f t="shared" si="7"/>
        <v>677000</v>
      </c>
      <c r="P35">
        <f t="shared" si="8"/>
        <v>146000</v>
      </c>
      <c r="Q35" s="30">
        <f>VLOOKUP(B35,Sheet2!$A$15:$G$380,5,FALSE)*S35/10</f>
        <v>823000</v>
      </c>
      <c r="R35" s="30">
        <f>VLOOKUP(B35,Sheet2!$A$15:$G$380,7,FALSE)*S35/10</f>
        <v>822000</v>
      </c>
      <c r="S35">
        <v>10</v>
      </c>
      <c r="T35" s="33">
        <f t="shared" si="9"/>
        <v>-1.2135922330097086E-3</v>
      </c>
      <c r="U35" s="33">
        <f t="shared" si="10"/>
        <v>-2.4271844660194173E-3</v>
      </c>
    </row>
    <row r="36" spans="2:21" x14ac:dyDescent="0.3">
      <c r="B36" s="5">
        <v>45774</v>
      </c>
      <c r="C36" s="6">
        <v>824000</v>
      </c>
      <c r="D36" s="6">
        <v>811398</v>
      </c>
      <c r="E36" s="6">
        <v>824000</v>
      </c>
      <c r="F36" s="6">
        <v>242091</v>
      </c>
      <c r="G36" s="6">
        <v>198582335000</v>
      </c>
      <c r="H36" s="6">
        <f t="shared" si="0"/>
        <v>769000</v>
      </c>
      <c r="I36" s="6">
        <f t="shared" si="1"/>
        <v>823456.4653363215</v>
      </c>
      <c r="J36" s="6">
        <f t="shared" si="3"/>
        <v>824000</v>
      </c>
      <c r="K36" s="6">
        <f t="shared" si="4"/>
        <v>879816.51376146788</v>
      </c>
      <c r="L36">
        <f t="shared" si="2"/>
        <v>676000</v>
      </c>
      <c r="M36">
        <f t="shared" si="5"/>
        <v>676000</v>
      </c>
      <c r="N36">
        <f t="shared" si="6"/>
        <v>676000</v>
      </c>
      <c r="O36">
        <f t="shared" si="7"/>
        <v>676000</v>
      </c>
      <c r="P36">
        <f t="shared" si="8"/>
        <v>147000</v>
      </c>
      <c r="Q36" s="30">
        <f>VLOOKUP(B36,Sheet2!$A$15:$G$380,5,FALSE)*S36/10</f>
        <v>823000</v>
      </c>
      <c r="R36" s="30">
        <f>VLOOKUP(B36,Sheet2!$A$15:$G$380,7,FALSE)*S36/10</f>
        <v>822000</v>
      </c>
      <c r="S36">
        <v>10</v>
      </c>
      <c r="T36" s="33">
        <f t="shared" si="9"/>
        <v>-1.2135922330097086E-3</v>
      </c>
      <c r="U36" s="33">
        <f t="shared" si="10"/>
        <v>-2.4271844660194173E-3</v>
      </c>
    </row>
    <row r="37" spans="2:21" x14ac:dyDescent="0.3">
      <c r="B37" s="5">
        <v>45775</v>
      </c>
      <c r="C37" s="6">
        <v>827000</v>
      </c>
      <c r="D37" s="6">
        <v>814352</v>
      </c>
      <c r="E37" s="6">
        <v>824000</v>
      </c>
      <c r="F37" s="6">
        <v>331266</v>
      </c>
      <c r="G37" s="6">
        <v>274013649000</v>
      </c>
      <c r="H37" s="6">
        <f t="shared" si="0"/>
        <v>772000</v>
      </c>
      <c r="I37" s="6">
        <f t="shared" si="1"/>
        <v>823375.33021996776</v>
      </c>
      <c r="J37" s="6">
        <f t="shared" si="3"/>
        <v>827000</v>
      </c>
      <c r="K37" s="6">
        <f t="shared" si="4"/>
        <v>879981.65137614682</v>
      </c>
      <c r="L37">
        <f t="shared" si="2"/>
        <v>678000</v>
      </c>
      <c r="M37">
        <f t="shared" si="5"/>
        <v>678000</v>
      </c>
      <c r="N37">
        <f t="shared" si="6"/>
        <v>678000</v>
      </c>
      <c r="O37">
        <f t="shared" si="7"/>
        <v>678000</v>
      </c>
      <c r="P37">
        <f t="shared" si="8"/>
        <v>148000</v>
      </c>
      <c r="Q37" s="30">
        <f>VLOOKUP(B37,Sheet2!$A$15:$G$380,5,FALSE)*S37/10</f>
        <v>826000</v>
      </c>
      <c r="R37" s="30">
        <f>VLOOKUP(B37,Sheet2!$A$15:$G$380,7,FALSE)*S37/10</f>
        <v>827000</v>
      </c>
      <c r="S37">
        <v>10</v>
      </c>
      <c r="T37" s="33">
        <f t="shared" si="9"/>
        <v>-1.2091898428053204E-3</v>
      </c>
      <c r="U37" s="33">
        <f t="shared" si="10"/>
        <v>0</v>
      </c>
    </row>
    <row r="38" spans="2:21" x14ac:dyDescent="0.3">
      <c r="B38" s="5">
        <v>45776</v>
      </c>
      <c r="C38" s="6">
        <v>809000</v>
      </c>
      <c r="D38" s="6">
        <v>796627</v>
      </c>
      <c r="E38" s="6">
        <v>827000</v>
      </c>
      <c r="F38" s="6">
        <v>270124</v>
      </c>
      <c r="G38" s="6">
        <v>217480454000</v>
      </c>
      <c r="H38" s="6">
        <f t="shared" si="0"/>
        <v>773000</v>
      </c>
      <c r="I38" s="6">
        <f t="shared" si="1"/>
        <v>819478.38275870669</v>
      </c>
      <c r="J38" s="6">
        <f t="shared" si="3"/>
        <v>809000</v>
      </c>
      <c r="K38" s="6">
        <f t="shared" si="4"/>
        <v>882486.23853211012</v>
      </c>
      <c r="L38">
        <f t="shared" si="2"/>
        <v>672000</v>
      </c>
      <c r="M38">
        <f t="shared" si="5"/>
        <v>672000</v>
      </c>
      <c r="N38">
        <f t="shared" si="6"/>
        <v>672000</v>
      </c>
      <c r="O38">
        <f t="shared" si="7"/>
        <v>672000</v>
      </c>
      <c r="P38">
        <f t="shared" si="8"/>
        <v>135000</v>
      </c>
      <c r="Q38" s="30">
        <f>VLOOKUP(B38,Sheet2!$A$15:$G$380,5,FALSE)*S38/10</f>
        <v>807000</v>
      </c>
      <c r="R38" s="30">
        <f>VLOOKUP(B38,Sheet2!$A$15:$G$380,7,FALSE)*S38/10</f>
        <v>803000</v>
      </c>
      <c r="S38">
        <v>10</v>
      </c>
      <c r="T38" s="33">
        <f t="shared" si="9"/>
        <v>-2.472187886279357E-3</v>
      </c>
      <c r="U38" s="33">
        <f t="shared" si="10"/>
        <v>-7.4165636588380719E-3</v>
      </c>
    </row>
    <row r="39" spans="2:21" x14ac:dyDescent="0.3">
      <c r="B39" s="7">
        <v>45777</v>
      </c>
      <c r="C39" s="8">
        <v>797000</v>
      </c>
      <c r="D39" s="8">
        <v>784811</v>
      </c>
      <c r="E39" s="8">
        <v>809000</v>
      </c>
      <c r="F39" s="8">
        <v>509064</v>
      </c>
      <c r="G39" s="8">
        <v>407934044000</v>
      </c>
      <c r="H39" s="6">
        <f t="shared" si="0"/>
        <v>775000</v>
      </c>
      <c r="I39" s="6">
        <f t="shared" si="1"/>
        <v>814697.74478986615</v>
      </c>
      <c r="J39" s="6">
        <f t="shared" si="3"/>
        <v>797000</v>
      </c>
      <c r="K39" s="6">
        <f t="shared" si="4"/>
        <v>864155.96330275224</v>
      </c>
      <c r="L39">
        <f t="shared" si="2"/>
        <v>668000</v>
      </c>
      <c r="M39">
        <f t="shared" si="5"/>
        <v>668000</v>
      </c>
      <c r="N39">
        <f t="shared" si="6"/>
        <v>668000</v>
      </c>
      <c r="O39">
        <f t="shared" si="7"/>
        <v>668000</v>
      </c>
      <c r="P39">
        <f t="shared" si="8"/>
        <v>127000</v>
      </c>
      <c r="Q39" s="30">
        <f>VLOOKUP(B39,Sheet2!$A$15:$G$380,5,FALSE)*S39/10</f>
        <v>795000</v>
      </c>
      <c r="R39" s="30">
        <f>VLOOKUP(B39,Sheet2!$A$15:$G$380,7,FALSE)*S39/10</f>
        <v>801000</v>
      </c>
      <c r="S39">
        <v>10</v>
      </c>
      <c r="T39" s="33">
        <f t="shared" si="9"/>
        <v>-2.509410288582183E-3</v>
      </c>
      <c r="U39" s="33">
        <f t="shared" si="10"/>
        <v>5.018820577164366E-3</v>
      </c>
    </row>
    <row r="40" spans="2:21" x14ac:dyDescent="0.3">
      <c r="B40" s="5">
        <v>45778</v>
      </c>
      <c r="C40" s="6">
        <v>797000</v>
      </c>
      <c r="D40" s="6">
        <v>784811</v>
      </c>
      <c r="E40" s="6">
        <v>809000</v>
      </c>
      <c r="F40" s="6">
        <v>509064</v>
      </c>
      <c r="G40" s="6">
        <v>407934044000</v>
      </c>
      <c r="H40" s="6">
        <f t="shared" si="0"/>
        <v>777000</v>
      </c>
      <c r="I40" s="6">
        <f t="shared" si="1"/>
        <v>811286.76680914883</v>
      </c>
      <c r="J40" s="6">
        <f t="shared" si="3"/>
        <v>797000</v>
      </c>
      <c r="K40" s="6">
        <f t="shared" si="4"/>
        <v>852073.39449541282</v>
      </c>
      <c r="L40">
        <f t="shared" si="2"/>
        <v>667000</v>
      </c>
      <c r="M40">
        <f t="shared" si="5"/>
        <v>667000</v>
      </c>
      <c r="N40">
        <f t="shared" si="6"/>
        <v>667000</v>
      </c>
      <c r="O40">
        <f t="shared" si="7"/>
        <v>667000</v>
      </c>
      <c r="P40">
        <f t="shared" si="8"/>
        <v>128000</v>
      </c>
      <c r="Q40" s="30">
        <f>VLOOKUP(B40,Sheet2!$A$15:$G$380,5,FALSE)*S40/10</f>
        <v>795000</v>
      </c>
      <c r="R40" s="30">
        <f>VLOOKUP(B40,Sheet2!$A$15:$G$380,7,FALSE)*S40/10</f>
        <v>801000</v>
      </c>
      <c r="S40">
        <v>10</v>
      </c>
      <c r="T40" s="33">
        <f t="shared" si="9"/>
        <v>-2.509410288582183E-3</v>
      </c>
      <c r="U40" s="33">
        <f t="shared" si="10"/>
        <v>5.018820577164366E-3</v>
      </c>
    </row>
    <row r="41" spans="2:21" x14ac:dyDescent="0.3">
      <c r="B41" s="5">
        <v>45779</v>
      </c>
      <c r="C41" s="6">
        <v>818000</v>
      </c>
      <c r="D41" s="6">
        <v>805489</v>
      </c>
      <c r="E41" s="6">
        <v>797000</v>
      </c>
      <c r="F41" s="6">
        <v>268277</v>
      </c>
      <c r="G41" s="6">
        <v>217376295500</v>
      </c>
      <c r="H41" s="6">
        <f t="shared" si="0"/>
        <v>778000</v>
      </c>
      <c r="I41" s="6">
        <f t="shared" si="1"/>
        <v>810253.70671806682</v>
      </c>
      <c r="J41" s="6">
        <f t="shared" si="3"/>
        <v>818000</v>
      </c>
      <c r="K41" s="6">
        <f t="shared" si="4"/>
        <v>852568.80733944953</v>
      </c>
      <c r="L41">
        <f t="shared" si="2"/>
        <v>673000</v>
      </c>
      <c r="M41">
        <f t="shared" si="5"/>
        <v>673000</v>
      </c>
      <c r="N41">
        <f t="shared" si="6"/>
        <v>673000</v>
      </c>
      <c r="O41">
        <f t="shared" si="7"/>
        <v>673000</v>
      </c>
      <c r="P41">
        <f t="shared" si="8"/>
        <v>143000</v>
      </c>
      <c r="Q41" s="30">
        <f>VLOOKUP(B41,Sheet2!$A$15:$G$380,5,FALSE)*S41/10</f>
        <v>816000</v>
      </c>
      <c r="R41" s="30">
        <f>VLOOKUP(B41,Sheet2!$A$15:$G$380,7,FALSE)*S41/10</f>
        <v>816000</v>
      </c>
      <c r="S41">
        <v>10</v>
      </c>
      <c r="T41" s="33">
        <f t="shared" si="9"/>
        <v>-2.4449877750611247E-3</v>
      </c>
      <c r="U41" s="33">
        <f t="shared" si="10"/>
        <v>-2.4449877750611247E-3</v>
      </c>
    </row>
    <row r="42" spans="2:21" x14ac:dyDescent="0.3">
      <c r="B42" s="5">
        <v>45780</v>
      </c>
      <c r="C42" s="6">
        <v>818000</v>
      </c>
      <c r="D42" s="6">
        <v>805489</v>
      </c>
      <c r="E42" s="6">
        <v>797000</v>
      </c>
      <c r="F42" s="6">
        <v>268277</v>
      </c>
      <c r="G42" s="6">
        <v>217376295500</v>
      </c>
      <c r="H42" s="6">
        <f t="shared" si="0"/>
        <v>779000</v>
      </c>
      <c r="I42" s="6">
        <f t="shared" si="1"/>
        <v>809243.20698801544</v>
      </c>
      <c r="J42" s="6">
        <f t="shared" si="3"/>
        <v>818000</v>
      </c>
      <c r="K42" s="6">
        <f t="shared" si="4"/>
        <v>873568.80733944953</v>
      </c>
      <c r="L42">
        <f t="shared" si="2"/>
        <v>673000</v>
      </c>
      <c r="M42">
        <f t="shared" si="5"/>
        <v>673000</v>
      </c>
      <c r="N42">
        <f t="shared" si="6"/>
        <v>673000</v>
      </c>
      <c r="O42">
        <f t="shared" si="7"/>
        <v>673000</v>
      </c>
      <c r="P42">
        <f t="shared" si="8"/>
        <v>143000</v>
      </c>
      <c r="Q42" s="30">
        <f>VLOOKUP(B42,Sheet2!$A$15:$G$380,5,FALSE)*S42/10</f>
        <v>816000</v>
      </c>
      <c r="R42" s="30">
        <f>VLOOKUP(B42,Sheet2!$A$15:$G$380,7,FALSE)*S42/10</f>
        <v>816000</v>
      </c>
      <c r="S42">
        <v>10</v>
      </c>
      <c r="T42" s="33">
        <f t="shared" si="9"/>
        <v>-2.4449877750611247E-3</v>
      </c>
      <c r="U42" s="33">
        <f t="shared" si="10"/>
        <v>-2.4449877750611247E-3</v>
      </c>
    </row>
    <row r="43" spans="2:21" x14ac:dyDescent="0.3">
      <c r="B43" s="5">
        <v>45781</v>
      </c>
      <c r="C43" s="6">
        <v>818000</v>
      </c>
      <c r="D43" s="6">
        <v>805489</v>
      </c>
      <c r="E43" s="6">
        <v>797000</v>
      </c>
      <c r="F43" s="6">
        <v>268277</v>
      </c>
      <c r="G43" s="6">
        <v>217376295500</v>
      </c>
      <c r="H43" s="6">
        <f t="shared" si="0"/>
        <v>780000</v>
      </c>
      <c r="I43" s="6">
        <f t="shared" si="1"/>
        <v>808254.53657868563</v>
      </c>
      <c r="J43" s="6">
        <f t="shared" si="3"/>
        <v>818000</v>
      </c>
      <c r="K43" s="6">
        <f t="shared" si="4"/>
        <v>873568.80733944953</v>
      </c>
      <c r="L43">
        <f t="shared" si="2"/>
        <v>673000</v>
      </c>
      <c r="M43">
        <f t="shared" si="5"/>
        <v>673000</v>
      </c>
      <c r="N43">
        <f t="shared" si="6"/>
        <v>673000</v>
      </c>
      <c r="O43">
        <f t="shared" si="7"/>
        <v>673000</v>
      </c>
      <c r="P43">
        <f t="shared" si="8"/>
        <v>143000</v>
      </c>
      <c r="Q43" s="30">
        <f>VLOOKUP(B43,Sheet2!$A$15:$G$380,5,FALSE)*S43/10</f>
        <v>816000</v>
      </c>
      <c r="R43" s="30">
        <f>VLOOKUP(B43,Sheet2!$A$15:$G$380,7,FALSE)*S43/10</f>
        <v>816000</v>
      </c>
      <c r="S43">
        <v>10</v>
      </c>
      <c r="T43" s="33">
        <f t="shared" si="9"/>
        <v>-2.4449877750611247E-3</v>
      </c>
      <c r="U43" s="33">
        <f t="shared" si="10"/>
        <v>-2.4449877750611247E-3</v>
      </c>
    </row>
    <row r="44" spans="2:21" x14ac:dyDescent="0.3">
      <c r="B44" s="7">
        <v>45782</v>
      </c>
      <c r="C44" s="8">
        <v>818000</v>
      </c>
      <c r="D44" s="8">
        <v>805489</v>
      </c>
      <c r="E44" s="8">
        <v>797000</v>
      </c>
      <c r="F44" s="8">
        <v>268277</v>
      </c>
      <c r="G44" s="8">
        <v>217376295500</v>
      </c>
      <c r="H44" s="6">
        <f t="shared" si="0"/>
        <v>780000</v>
      </c>
      <c r="I44" s="6">
        <f t="shared" si="1"/>
        <v>805829.5744825016</v>
      </c>
      <c r="J44" s="6">
        <f t="shared" si="3"/>
        <v>818000</v>
      </c>
      <c r="K44" s="6">
        <f t="shared" si="4"/>
        <v>873568.80733944953</v>
      </c>
      <c r="L44">
        <f t="shared" si="2"/>
        <v>673000</v>
      </c>
      <c r="M44">
        <f t="shared" si="5"/>
        <v>673000</v>
      </c>
      <c r="N44">
        <f t="shared" si="6"/>
        <v>673000</v>
      </c>
      <c r="O44">
        <f t="shared" si="7"/>
        <v>673000</v>
      </c>
      <c r="P44">
        <f t="shared" si="8"/>
        <v>143000</v>
      </c>
      <c r="Q44" s="30">
        <f>VLOOKUP(B44,Sheet2!$A$15:$G$380,5,FALSE)*S44/10</f>
        <v>816000</v>
      </c>
      <c r="R44" s="30">
        <f>VLOOKUP(B44,Sheet2!$A$15:$G$380,7,FALSE)*S44/10</f>
        <v>816000</v>
      </c>
      <c r="S44">
        <v>10</v>
      </c>
      <c r="T44" s="33">
        <f t="shared" si="9"/>
        <v>-2.4449877750611247E-3</v>
      </c>
      <c r="U44" s="33">
        <f t="shared" si="10"/>
        <v>-2.4449877750611247E-3</v>
      </c>
    </row>
    <row r="45" spans="2:21" x14ac:dyDescent="0.3">
      <c r="B45" s="5">
        <v>45783</v>
      </c>
      <c r="C45" s="6">
        <v>818000</v>
      </c>
      <c r="D45" s="6">
        <v>805489</v>
      </c>
      <c r="E45" s="6">
        <v>797000</v>
      </c>
      <c r="F45" s="6">
        <v>268277</v>
      </c>
      <c r="G45" s="6">
        <v>217376295500</v>
      </c>
      <c r="H45" s="6">
        <f t="shared" si="0"/>
        <v>785000</v>
      </c>
      <c r="I45" s="6">
        <f t="shared" si="1"/>
        <v>806416.22466161451</v>
      </c>
      <c r="J45" s="6">
        <f t="shared" si="3"/>
        <v>818000</v>
      </c>
      <c r="K45" s="6">
        <f t="shared" si="4"/>
        <v>873651.37614678894</v>
      </c>
      <c r="L45">
        <f t="shared" si="2"/>
        <v>674000</v>
      </c>
      <c r="M45">
        <f t="shared" si="5"/>
        <v>674000</v>
      </c>
      <c r="N45">
        <f t="shared" si="6"/>
        <v>674000</v>
      </c>
      <c r="O45">
        <f t="shared" si="7"/>
        <v>674000</v>
      </c>
      <c r="P45">
        <f t="shared" si="8"/>
        <v>142000</v>
      </c>
      <c r="Q45" s="30">
        <f>VLOOKUP(B45,Sheet2!$A$15:$G$380,5,FALSE)*S45/10</f>
        <v>816000</v>
      </c>
      <c r="R45" s="30">
        <f>VLOOKUP(B45,Sheet2!$A$15:$G$380,7,FALSE)*S45/10</f>
        <v>816000</v>
      </c>
      <c r="S45">
        <v>10</v>
      </c>
      <c r="T45" s="33">
        <f t="shared" si="9"/>
        <v>-2.4449877750611247E-3</v>
      </c>
      <c r="U45" s="33">
        <f t="shared" si="10"/>
        <v>-2.4449877750611247E-3</v>
      </c>
    </row>
    <row r="46" spans="2:21" x14ac:dyDescent="0.3">
      <c r="B46" s="5">
        <v>45784</v>
      </c>
      <c r="C46" s="6">
        <v>890000</v>
      </c>
      <c r="D46" s="6">
        <v>876388</v>
      </c>
      <c r="E46" s="6">
        <v>818000</v>
      </c>
      <c r="F46" s="6">
        <v>468435</v>
      </c>
      <c r="G46" s="6">
        <v>401580447000</v>
      </c>
      <c r="H46" s="6">
        <f t="shared" si="0"/>
        <v>794000</v>
      </c>
      <c r="I46" s="6">
        <f t="shared" si="1"/>
        <v>817805.44800861098</v>
      </c>
      <c r="J46" s="6">
        <f t="shared" si="3"/>
        <v>890000</v>
      </c>
      <c r="K46" s="6">
        <f t="shared" si="4"/>
        <v>875798.16513761471</v>
      </c>
      <c r="L46">
        <f t="shared" si="2"/>
        <v>700000</v>
      </c>
      <c r="M46">
        <f t="shared" si="5"/>
        <v>700000</v>
      </c>
      <c r="N46">
        <f t="shared" si="6"/>
        <v>700000</v>
      </c>
      <c r="O46">
        <f t="shared" si="7"/>
        <v>700000</v>
      </c>
      <c r="P46">
        <f t="shared" si="8"/>
        <v>193000</v>
      </c>
      <c r="Q46" s="30">
        <f>VLOOKUP(B46,Sheet2!$A$15:$G$380,5,FALSE)*S46/10</f>
        <v>893000</v>
      </c>
      <c r="R46" s="30">
        <f>VLOOKUP(B46,Sheet2!$A$15:$G$380,7,FALSE)*S46/10</f>
        <v>890000</v>
      </c>
      <c r="S46">
        <v>10</v>
      </c>
      <c r="T46" s="33">
        <f t="shared" si="9"/>
        <v>3.3707865168539327E-3</v>
      </c>
      <c r="U46" s="33">
        <f t="shared" si="10"/>
        <v>0</v>
      </c>
    </row>
    <row r="47" spans="2:21" x14ac:dyDescent="0.3">
      <c r="B47" s="5">
        <v>45785</v>
      </c>
      <c r="C47" s="6">
        <v>883000</v>
      </c>
      <c r="D47" s="6">
        <v>869495</v>
      </c>
      <c r="E47" s="6">
        <v>890000</v>
      </c>
      <c r="F47" s="6">
        <v>324345</v>
      </c>
      <c r="G47" s="6">
        <v>286285916000</v>
      </c>
      <c r="H47" s="6">
        <f t="shared" si="0"/>
        <v>804000</v>
      </c>
      <c r="I47" s="6">
        <f t="shared" si="1"/>
        <v>831588.86051453382</v>
      </c>
      <c r="J47" s="6">
        <f t="shared" si="3"/>
        <v>883000</v>
      </c>
      <c r="K47" s="6">
        <f t="shared" si="4"/>
        <v>948211.00917431188</v>
      </c>
      <c r="L47">
        <f t="shared" si="2"/>
        <v>705000</v>
      </c>
      <c r="M47">
        <f t="shared" si="5"/>
        <v>705000</v>
      </c>
      <c r="N47">
        <f t="shared" si="6"/>
        <v>705000</v>
      </c>
      <c r="O47">
        <f t="shared" si="7"/>
        <v>705000</v>
      </c>
      <c r="P47">
        <f t="shared" si="8"/>
        <v>179000</v>
      </c>
      <c r="Q47" s="30">
        <f>VLOOKUP(B47,Sheet2!$A$15:$G$380,5,FALSE)*S47/10</f>
        <v>884000</v>
      </c>
      <c r="R47" s="30">
        <f>VLOOKUP(B47,Sheet2!$A$15:$G$380,7,FALSE)*S47/10</f>
        <v>883000</v>
      </c>
      <c r="S47">
        <v>10</v>
      </c>
      <c r="T47" s="33">
        <f t="shared" si="9"/>
        <v>1.1325028312570782E-3</v>
      </c>
      <c r="U47" s="33">
        <f t="shared" si="10"/>
        <v>0</v>
      </c>
    </row>
    <row r="48" spans="2:21" x14ac:dyDescent="0.3">
      <c r="B48" s="5">
        <v>45786</v>
      </c>
      <c r="C48" s="6">
        <v>878000</v>
      </c>
      <c r="D48" s="6">
        <v>864572</v>
      </c>
      <c r="E48" s="6">
        <v>883000</v>
      </c>
      <c r="F48" s="6">
        <v>368386</v>
      </c>
      <c r="G48" s="6">
        <v>324800403932</v>
      </c>
      <c r="H48" s="6">
        <f t="shared" si="0"/>
        <v>812000</v>
      </c>
      <c r="I48" s="6">
        <f t="shared" si="1"/>
        <v>842408.74169058946</v>
      </c>
      <c r="J48" s="6">
        <f t="shared" si="3"/>
        <v>878000</v>
      </c>
      <c r="K48" s="6">
        <f t="shared" si="4"/>
        <v>941458.71559633024</v>
      </c>
      <c r="L48">
        <f t="shared" si="2"/>
        <v>708000</v>
      </c>
      <c r="M48">
        <f t="shared" si="5"/>
        <v>708000</v>
      </c>
      <c r="N48">
        <f t="shared" si="6"/>
        <v>708000</v>
      </c>
      <c r="O48">
        <f t="shared" si="7"/>
        <v>708000</v>
      </c>
      <c r="P48">
        <f t="shared" si="8"/>
        <v>171000</v>
      </c>
      <c r="Q48" s="30">
        <f>VLOOKUP(B48,Sheet2!$A$15:$G$380,5,FALSE)*S48/10</f>
        <v>879000</v>
      </c>
      <c r="R48" s="30">
        <f>VLOOKUP(B48,Sheet2!$A$15:$G$380,7,FALSE)*S48/10</f>
        <v>877000</v>
      </c>
      <c r="S48">
        <v>10</v>
      </c>
      <c r="T48" s="33">
        <f t="shared" si="9"/>
        <v>1.1389521640091116E-3</v>
      </c>
      <c r="U48" s="33">
        <f t="shared" si="10"/>
        <v>-1.1389521640091116E-3</v>
      </c>
    </row>
    <row r="49" spans="1:26" x14ac:dyDescent="0.3">
      <c r="B49" s="7">
        <v>45787</v>
      </c>
      <c r="C49" s="8">
        <v>878000</v>
      </c>
      <c r="D49" s="8">
        <v>864572</v>
      </c>
      <c r="E49" s="8">
        <v>883000</v>
      </c>
      <c r="F49" s="8">
        <v>368386</v>
      </c>
      <c r="G49" s="8">
        <v>324800403932</v>
      </c>
      <c r="H49" s="6">
        <f t="shared" si="0"/>
        <v>818000</v>
      </c>
      <c r="I49" s="6">
        <f t="shared" si="1"/>
        <v>852300.6110668215</v>
      </c>
      <c r="J49" s="6">
        <f t="shared" si="3"/>
        <v>878000</v>
      </c>
      <c r="K49" s="6">
        <f t="shared" si="4"/>
        <v>936871.55963302753</v>
      </c>
      <c r="L49">
        <f t="shared" si="2"/>
        <v>713000</v>
      </c>
      <c r="M49">
        <f t="shared" si="5"/>
        <v>713000</v>
      </c>
      <c r="N49">
        <f t="shared" si="6"/>
        <v>713000</v>
      </c>
      <c r="O49">
        <f t="shared" si="7"/>
        <v>713000</v>
      </c>
      <c r="P49">
        <f t="shared" si="8"/>
        <v>166000</v>
      </c>
      <c r="Q49" s="30">
        <f>VLOOKUP(B49,Sheet2!$A$15:$G$380,5,FALSE)*S49/10</f>
        <v>879000</v>
      </c>
      <c r="R49" s="30">
        <f>VLOOKUP(B49,Sheet2!$A$15:$G$380,7,FALSE)*S49/10</f>
        <v>877000</v>
      </c>
      <c r="S49">
        <v>10</v>
      </c>
      <c r="T49" s="33">
        <f t="shared" si="9"/>
        <v>1.1389521640091116E-3</v>
      </c>
      <c r="U49" s="33">
        <f t="shared" si="10"/>
        <v>-1.1389521640091116E-3</v>
      </c>
    </row>
    <row r="50" spans="1:26" x14ac:dyDescent="0.3">
      <c r="B50" s="5">
        <v>45788</v>
      </c>
      <c r="C50" s="6">
        <v>878000</v>
      </c>
      <c r="D50" s="6">
        <v>864572</v>
      </c>
      <c r="E50" s="6">
        <v>883000</v>
      </c>
      <c r="F50" s="6">
        <v>368386</v>
      </c>
      <c r="G50" s="6">
        <v>324800403932</v>
      </c>
      <c r="H50" s="6">
        <f t="shared" si="0"/>
        <v>823000</v>
      </c>
      <c r="I50" s="6">
        <f t="shared" si="1"/>
        <v>861378.95125389611</v>
      </c>
      <c r="J50" s="6">
        <f t="shared" si="3"/>
        <v>878000</v>
      </c>
      <c r="K50" s="6">
        <f t="shared" si="4"/>
        <v>937201.83486238529</v>
      </c>
      <c r="L50">
        <f t="shared" si="2"/>
        <v>717000</v>
      </c>
      <c r="M50">
        <f t="shared" si="5"/>
        <v>717000</v>
      </c>
      <c r="N50">
        <f t="shared" si="6"/>
        <v>717000</v>
      </c>
      <c r="O50">
        <f t="shared" si="7"/>
        <v>717000</v>
      </c>
      <c r="P50">
        <f t="shared" si="8"/>
        <v>162000</v>
      </c>
      <c r="Q50" s="30">
        <f>VLOOKUP(B50,Sheet2!$A$15:$G$380,5,FALSE)*S50/10</f>
        <v>879000</v>
      </c>
      <c r="R50" s="30">
        <f>VLOOKUP(B50,Sheet2!$A$15:$G$380,7,FALSE)*S50/10</f>
        <v>877000</v>
      </c>
      <c r="S50">
        <v>10</v>
      </c>
      <c r="T50" s="33">
        <f t="shared" si="9"/>
        <v>1.1389521640091116E-3</v>
      </c>
      <c r="U50" s="33">
        <f t="shared" si="10"/>
        <v>-1.1389521640091116E-3</v>
      </c>
    </row>
    <row r="51" spans="1:26" x14ac:dyDescent="0.3">
      <c r="A51" t="s">
        <v>73</v>
      </c>
      <c r="B51" s="5">
        <v>45789</v>
      </c>
      <c r="C51" s="6">
        <v>820000</v>
      </c>
      <c r="D51" s="6">
        <v>807459</v>
      </c>
      <c r="E51" s="6">
        <v>878000</v>
      </c>
      <c r="F51" s="6">
        <v>285226</v>
      </c>
      <c r="G51" s="6">
        <v>239913965000</v>
      </c>
      <c r="H51" s="6">
        <f t="shared" si="0"/>
        <v>826000</v>
      </c>
      <c r="I51" s="6">
        <f t="shared" si="1"/>
        <v>864617.11103632522</v>
      </c>
      <c r="J51" s="6">
        <f t="shared" si="3"/>
        <v>820000</v>
      </c>
      <c r="K51" s="6">
        <f t="shared" si="4"/>
        <v>934807.33944954129</v>
      </c>
      <c r="L51">
        <f t="shared" si="2"/>
        <v>688000</v>
      </c>
      <c r="M51">
        <f t="shared" si="5"/>
        <v>688000</v>
      </c>
      <c r="N51">
        <f t="shared" si="6"/>
        <v>688000</v>
      </c>
      <c r="O51">
        <f t="shared" si="7"/>
        <v>688000</v>
      </c>
      <c r="P51">
        <f t="shared" si="8"/>
        <v>137000</v>
      </c>
      <c r="Q51" s="30">
        <f>VLOOKUP(B51,Sheet2!$A$15:$G$380,5,FALSE)*S51/10</f>
        <v>825000</v>
      </c>
      <c r="R51" s="30">
        <f>VLOOKUP(B51,Sheet2!$A$15:$G$380,7,FALSE)*S51/10</f>
        <v>877000</v>
      </c>
      <c r="S51">
        <v>10</v>
      </c>
      <c r="T51" s="33">
        <f t="shared" si="9"/>
        <v>6.0975609756097563E-3</v>
      </c>
      <c r="U51" s="33">
        <f t="shared" si="10"/>
        <v>6.9512195121951226E-2</v>
      </c>
    </row>
    <row r="52" spans="1:26" x14ac:dyDescent="0.3">
      <c r="B52" s="5">
        <v>45790</v>
      </c>
      <c r="C52" s="6">
        <v>804000</v>
      </c>
      <c r="D52" s="6">
        <v>791704</v>
      </c>
      <c r="E52" s="6">
        <v>820000</v>
      </c>
      <c r="F52" s="6">
        <v>360960</v>
      </c>
      <c r="G52" s="6">
        <v>289776627500</v>
      </c>
      <c r="H52" s="6">
        <f t="shared" si="0"/>
        <v>827000</v>
      </c>
      <c r="I52" s="6">
        <f t="shared" si="1"/>
        <v>861576.78135814134</v>
      </c>
      <c r="J52" s="6">
        <f t="shared" si="3"/>
        <v>804000</v>
      </c>
      <c r="K52" s="6">
        <f t="shared" si="4"/>
        <v>875733.94495412847</v>
      </c>
      <c r="L52">
        <f t="shared" si="2"/>
        <v>675000</v>
      </c>
      <c r="M52">
        <f t="shared" si="5"/>
        <v>675000</v>
      </c>
      <c r="N52">
        <f t="shared" si="6"/>
        <v>675000</v>
      </c>
      <c r="O52">
        <f t="shared" si="7"/>
        <v>675000</v>
      </c>
      <c r="P52">
        <f t="shared" si="8"/>
        <v>128000</v>
      </c>
      <c r="Q52" s="30">
        <f>VLOOKUP(B52,Sheet2!$A$15:$G$380,5,FALSE)*S52/10</f>
        <v>803000</v>
      </c>
      <c r="R52" s="30">
        <f>VLOOKUP(B52,Sheet2!$A$15:$G$380,7,FALSE)*S52/10</f>
        <v>802000</v>
      </c>
      <c r="S52">
        <v>10</v>
      </c>
      <c r="T52" s="33">
        <f t="shared" si="9"/>
        <v>-1.2437810945273632E-3</v>
      </c>
      <c r="U52" s="33">
        <f t="shared" si="10"/>
        <v>-2.4875621890547263E-3</v>
      </c>
    </row>
    <row r="53" spans="1:26" x14ac:dyDescent="0.3">
      <c r="B53" s="5">
        <v>45791</v>
      </c>
      <c r="C53" s="6">
        <v>820000</v>
      </c>
      <c r="D53" s="6">
        <v>807459</v>
      </c>
      <c r="E53" s="6">
        <v>804000</v>
      </c>
      <c r="F53" s="6">
        <v>275966</v>
      </c>
      <c r="G53" s="6">
        <v>227217515500</v>
      </c>
      <c r="H53" s="6">
        <f t="shared" si="0"/>
        <v>828000</v>
      </c>
      <c r="I53" s="6">
        <f t="shared" si="1"/>
        <v>857946.95046509802</v>
      </c>
      <c r="J53" s="6">
        <f t="shared" si="3"/>
        <v>820000</v>
      </c>
      <c r="K53" s="6">
        <f t="shared" si="4"/>
        <v>860807.33944954129</v>
      </c>
      <c r="L53">
        <f t="shared" si="2"/>
        <v>688000</v>
      </c>
      <c r="M53">
        <f t="shared" si="5"/>
        <v>688000</v>
      </c>
      <c r="N53">
        <f t="shared" si="6"/>
        <v>688000</v>
      </c>
      <c r="O53">
        <f t="shared" si="7"/>
        <v>688000</v>
      </c>
      <c r="P53">
        <f t="shared" si="8"/>
        <v>131000</v>
      </c>
      <c r="Q53" s="30">
        <f>VLOOKUP(B53,Sheet2!$A$15:$G$380,5,FALSE)*S53/10</f>
        <v>819000</v>
      </c>
      <c r="R53" s="30">
        <f>VLOOKUP(B53,Sheet2!$A$15:$G$380,7,FALSE)*S53/10</f>
        <v>821000</v>
      </c>
      <c r="S53">
        <v>10</v>
      </c>
      <c r="T53" s="33">
        <f t="shared" si="9"/>
        <v>-1.2195121951219512E-3</v>
      </c>
      <c r="U53" s="33">
        <f t="shared" si="10"/>
        <v>1.2195121951219512E-3</v>
      </c>
    </row>
    <row r="54" spans="1:26" ht="17.25" thickBot="1" x14ac:dyDescent="0.35">
      <c r="B54" s="7">
        <v>45792</v>
      </c>
      <c r="C54" s="8">
        <v>822000</v>
      </c>
      <c r="D54" s="8">
        <v>809428</v>
      </c>
      <c r="E54" s="8">
        <v>820000</v>
      </c>
      <c r="F54" s="8">
        <v>164929</v>
      </c>
      <c r="G54" s="8">
        <v>135023988500</v>
      </c>
      <c r="H54" s="6">
        <f t="shared" si="0"/>
        <v>830000</v>
      </c>
      <c r="I54" s="6">
        <f t="shared" si="1"/>
        <v>851336.60531356302</v>
      </c>
      <c r="J54" s="6">
        <f t="shared" si="3"/>
        <v>822000</v>
      </c>
      <c r="K54" s="6">
        <f t="shared" si="4"/>
        <v>876972.47706422023</v>
      </c>
      <c r="L54">
        <f t="shared" si="2"/>
        <v>690000</v>
      </c>
      <c r="M54">
        <f t="shared" si="5"/>
        <v>690000</v>
      </c>
      <c r="N54">
        <f t="shared" si="6"/>
        <v>690000</v>
      </c>
      <c r="O54">
        <f t="shared" si="7"/>
        <v>690000</v>
      </c>
      <c r="P54">
        <f t="shared" si="8"/>
        <v>133000</v>
      </c>
      <c r="Q54" s="30">
        <f>VLOOKUP(B54,Sheet2!$A$15:$G$380,5,FALSE)*S54/10</f>
        <v>823000</v>
      </c>
      <c r="R54" s="30">
        <f>VLOOKUP(B54,Sheet2!$A$15:$G$380,7,FALSE)*S54/10</f>
        <v>813000</v>
      </c>
      <c r="S54">
        <v>10</v>
      </c>
      <c r="T54" s="33">
        <f t="shared" si="9"/>
        <v>1.2165450121654502E-3</v>
      </c>
      <c r="U54" s="33">
        <f t="shared" si="10"/>
        <v>-1.0948905109489052E-2</v>
      </c>
      <c r="Y54" t="s">
        <v>49</v>
      </c>
    </row>
    <row r="55" spans="1:26" ht="17.25" thickBot="1" x14ac:dyDescent="0.35">
      <c r="B55" s="5">
        <v>45793</v>
      </c>
      <c r="C55" s="6">
        <v>841000</v>
      </c>
      <c r="D55" s="6">
        <v>828138</v>
      </c>
      <c r="E55" s="6">
        <v>822000</v>
      </c>
      <c r="F55" s="6">
        <v>160353</v>
      </c>
      <c r="G55" s="6">
        <v>134322523000</v>
      </c>
      <c r="H55" s="6">
        <f t="shared" si="0"/>
        <v>831000</v>
      </c>
      <c r="I55" s="6">
        <f t="shared" si="1"/>
        <v>844597.50014061038</v>
      </c>
      <c r="J55" s="6">
        <f t="shared" si="3"/>
        <v>841000</v>
      </c>
      <c r="K55" s="6">
        <f t="shared" si="4"/>
        <v>880128.44036697247</v>
      </c>
      <c r="L55">
        <f t="shared" si="2"/>
        <v>704000</v>
      </c>
      <c r="M55">
        <f t="shared" si="5"/>
        <v>704000</v>
      </c>
      <c r="N55">
        <f t="shared" si="6"/>
        <v>704000</v>
      </c>
      <c r="O55">
        <f t="shared" si="7"/>
        <v>704000</v>
      </c>
      <c r="P55">
        <f t="shared" si="8"/>
        <v>134000</v>
      </c>
      <c r="Q55" s="30">
        <f>VLOOKUP(B55,Sheet2!$A$15:$G$380,5,FALSE)*S55/10</f>
        <v>838000</v>
      </c>
      <c r="R55" s="30">
        <f>VLOOKUP(B55,Sheet2!$A$15:$G$380,7,FALSE)*S55/10</f>
        <v>836000</v>
      </c>
      <c r="S55">
        <v>10</v>
      </c>
      <c r="T55" s="33">
        <f t="shared" si="9"/>
        <v>-3.5671819262782403E-3</v>
      </c>
      <c r="U55" s="33">
        <f t="shared" si="10"/>
        <v>-5.945303210463734E-3</v>
      </c>
      <c r="X55">
        <v>837000</v>
      </c>
      <c r="Y55" s="29">
        <f>10.16427328</f>
        <v>10.16427328</v>
      </c>
    </row>
    <row r="56" spans="1:26" x14ac:dyDescent="0.3">
      <c r="B56" s="5">
        <v>45794</v>
      </c>
      <c r="C56" s="6">
        <v>841000</v>
      </c>
      <c r="D56" s="6">
        <v>828138</v>
      </c>
      <c r="E56" s="6">
        <v>822000</v>
      </c>
      <c r="F56" s="6">
        <v>160353</v>
      </c>
      <c r="G56" s="6">
        <v>134322523000</v>
      </c>
      <c r="H56" s="6">
        <f t="shared" si="0"/>
        <v>832000</v>
      </c>
      <c r="I56" s="6">
        <f t="shared" si="1"/>
        <v>836279.76916212554</v>
      </c>
      <c r="J56" s="6">
        <f t="shared" si="3"/>
        <v>841000</v>
      </c>
      <c r="K56" s="6">
        <f t="shared" si="4"/>
        <v>898963.30275229353</v>
      </c>
      <c r="L56">
        <f t="shared" si="2"/>
        <v>702000</v>
      </c>
      <c r="M56">
        <f t="shared" si="5"/>
        <v>702000</v>
      </c>
      <c r="N56">
        <f t="shared" si="6"/>
        <v>702000</v>
      </c>
      <c r="O56">
        <f t="shared" si="7"/>
        <v>702000</v>
      </c>
      <c r="P56">
        <f t="shared" si="8"/>
        <v>136000</v>
      </c>
      <c r="Q56" s="30">
        <f>VLOOKUP(B56,Sheet2!$A$15:$G$380,5,FALSE)*S56/10</f>
        <v>838000</v>
      </c>
      <c r="R56" s="30">
        <f>VLOOKUP(B56,Sheet2!$A$15:$G$380,7,FALSE)*S56/10</f>
        <v>836000</v>
      </c>
      <c r="S56">
        <v>10</v>
      </c>
      <c r="T56" s="33">
        <f t="shared" si="9"/>
        <v>-3.5671819262782403E-3</v>
      </c>
      <c r="U56" s="33">
        <f t="shared" si="10"/>
        <v>-5.945303210463734E-3</v>
      </c>
    </row>
    <row r="57" spans="1:26" x14ac:dyDescent="0.3">
      <c r="B57" s="5">
        <v>45795</v>
      </c>
      <c r="C57" s="6">
        <v>841000</v>
      </c>
      <c r="D57" s="6">
        <v>828138</v>
      </c>
      <c r="E57" s="6">
        <v>822000</v>
      </c>
      <c r="F57" s="6">
        <v>160353</v>
      </c>
      <c r="G57" s="6">
        <v>134322523000</v>
      </c>
      <c r="H57" s="6">
        <f t="shared" si="0"/>
        <v>832000</v>
      </c>
      <c r="I57" s="6">
        <f t="shared" si="1"/>
        <v>825755.14016605658</v>
      </c>
      <c r="J57" s="6">
        <f t="shared" si="3"/>
        <v>841000</v>
      </c>
      <c r="K57" s="6">
        <f t="shared" si="4"/>
        <v>898715.59633027518</v>
      </c>
      <c r="L57">
        <f t="shared" si="2"/>
        <v>699000</v>
      </c>
      <c r="M57">
        <f t="shared" si="5"/>
        <v>699000</v>
      </c>
      <c r="N57">
        <f t="shared" si="6"/>
        <v>699000</v>
      </c>
      <c r="O57">
        <f t="shared" si="7"/>
        <v>699000</v>
      </c>
      <c r="P57">
        <f t="shared" si="8"/>
        <v>139000</v>
      </c>
      <c r="Q57" s="30">
        <f>VLOOKUP(B57,Sheet2!$A$15:$G$380,5,FALSE)*S57/10</f>
        <v>838000</v>
      </c>
      <c r="R57" s="30">
        <f>VLOOKUP(B57,Sheet2!$A$15:$G$380,7,FALSE)*S57/10</f>
        <v>836000</v>
      </c>
      <c r="S57">
        <v>10</v>
      </c>
      <c r="T57" s="33">
        <f t="shared" si="9"/>
        <v>-3.5671819262782403E-3</v>
      </c>
      <c r="U57" s="33">
        <f t="shared" si="10"/>
        <v>-5.945303210463734E-3</v>
      </c>
      <c r="X57">
        <f>Y57*10</f>
        <v>10.16427328</v>
      </c>
      <c r="Y57">
        <f>Y55/10</f>
        <v>1.016427328</v>
      </c>
    </row>
    <row r="58" spans="1:26" x14ac:dyDescent="0.3">
      <c r="B58" s="5">
        <v>45796</v>
      </c>
      <c r="C58" s="6">
        <v>839000</v>
      </c>
      <c r="D58" s="6">
        <v>826168</v>
      </c>
      <c r="E58" s="6">
        <v>841000</v>
      </c>
      <c r="F58" s="6">
        <v>109527</v>
      </c>
      <c r="G58" s="6">
        <v>91733738000</v>
      </c>
      <c r="H58" s="6">
        <f t="shared" si="0"/>
        <v>832000</v>
      </c>
      <c r="I58" s="6">
        <f t="shared" si="1"/>
        <v>823531.7966793566</v>
      </c>
      <c r="J58" s="6">
        <f t="shared" si="3"/>
        <v>839000</v>
      </c>
      <c r="K58" s="6">
        <f t="shared" si="4"/>
        <v>898633.02752293576</v>
      </c>
      <c r="L58">
        <f t="shared" si="2"/>
        <v>698000</v>
      </c>
      <c r="M58">
        <f t="shared" si="5"/>
        <v>698000</v>
      </c>
      <c r="N58">
        <f t="shared" si="6"/>
        <v>698000</v>
      </c>
      <c r="O58">
        <f t="shared" si="7"/>
        <v>698000</v>
      </c>
      <c r="P58">
        <f t="shared" si="8"/>
        <v>135000</v>
      </c>
      <c r="Q58" s="30">
        <f>VLOOKUP(B58,Sheet2!$A$15:$G$380,5,FALSE)*S58/10</f>
        <v>833000</v>
      </c>
      <c r="R58" s="30">
        <f>VLOOKUP(B58,Sheet2!$A$15:$G$380,7,FALSE)*S58/10</f>
        <v>834000</v>
      </c>
      <c r="S58">
        <v>10</v>
      </c>
      <c r="T58" s="33">
        <f t="shared" si="9"/>
        <v>-7.1513706793802142E-3</v>
      </c>
      <c r="U58" s="33">
        <f t="shared" si="10"/>
        <v>-5.9594755661501785E-3</v>
      </c>
    </row>
    <row r="59" spans="1:26" x14ac:dyDescent="0.3">
      <c r="A59" t="s">
        <v>55</v>
      </c>
      <c r="B59" s="7">
        <v>45797</v>
      </c>
      <c r="C59" s="8">
        <v>815000</v>
      </c>
      <c r="D59" s="8">
        <v>802535</v>
      </c>
      <c r="E59" s="8">
        <v>839000</v>
      </c>
      <c r="F59" s="8">
        <v>181366</v>
      </c>
      <c r="G59" s="8">
        <v>150183896500</v>
      </c>
      <c r="H59" s="6">
        <f>CEILING(SUM(G30:G59)/SUM(F30:F59),1000)</f>
        <v>831000</v>
      </c>
      <c r="I59" s="6">
        <f>SUM(G53:G59)/SUM(F53:F59)</f>
        <v>830382.32151293615</v>
      </c>
      <c r="J59" s="6">
        <f t="shared" si="3"/>
        <v>815000</v>
      </c>
      <c r="K59" s="6">
        <f t="shared" si="4"/>
        <v>895477.06422018353</v>
      </c>
      <c r="L59">
        <f>CEILING(MIN(AVERAGE(H59,I59,J59),J59)*(1-$W$5)/(1+$W$4*$W$5),1000)</f>
        <v>684000</v>
      </c>
      <c r="M59">
        <f t="shared" si="5"/>
        <v>684000</v>
      </c>
      <c r="N59">
        <f t="shared" si="6"/>
        <v>684000</v>
      </c>
      <c r="O59">
        <f t="shared" si="7"/>
        <v>684000</v>
      </c>
      <c r="P59">
        <f t="shared" si="8"/>
        <v>134000</v>
      </c>
      <c r="Q59" s="30">
        <f>VLOOKUP(B59,Sheet2!$A$15:$G$380,5,FALSE)*S59/10</f>
        <v>818000</v>
      </c>
      <c r="R59" s="30">
        <f>VLOOKUP(B59,Sheet2!$A$15:$G$380,7,FALSE)*S59/10</f>
        <v>807000</v>
      </c>
      <c r="S59">
        <v>10</v>
      </c>
      <c r="T59" s="33">
        <f t="shared" si="9"/>
        <v>3.6809815950920245E-3</v>
      </c>
      <c r="U59" s="33">
        <f t="shared" si="10"/>
        <v>-9.8159509202453993E-3</v>
      </c>
      <c r="X59" t="s">
        <v>61</v>
      </c>
      <c r="Z59">
        <f>C60/1.016427328</f>
        <v>836262.44256195356</v>
      </c>
    </row>
    <row r="60" spans="1:26" x14ac:dyDescent="0.3">
      <c r="A60" t="s">
        <v>60</v>
      </c>
      <c r="B60" s="5">
        <v>45798</v>
      </c>
      <c r="C60" s="6">
        <v>850000</v>
      </c>
      <c r="D60" s="28">
        <v>837000</v>
      </c>
      <c r="E60" s="6">
        <v>815000</v>
      </c>
      <c r="F60" s="6">
        <v>241037</v>
      </c>
      <c r="G60" s="6">
        <v>202689981000</v>
      </c>
      <c r="H60" s="6">
        <f t="shared" ref="H60:H123" si="11">CEILING(SUM(G31:G60)/SUM(F31:F60),1000)</f>
        <v>832000</v>
      </c>
      <c r="I60" s="6">
        <f t="shared" ref="I60:I123" si="12">SUM(G54:G60)/SUM(F54:F60)</f>
        <v>834183.00170300482</v>
      </c>
      <c r="J60" s="6">
        <f t="shared" si="3"/>
        <v>850000</v>
      </c>
      <c r="K60" s="6"/>
      <c r="L60">
        <v>684000</v>
      </c>
      <c r="M60">
        <f t="shared" si="5"/>
        <v>704000</v>
      </c>
      <c r="N60">
        <f t="shared" si="6"/>
        <v>704000</v>
      </c>
      <c r="O60">
        <f t="shared" si="7"/>
        <v>684000</v>
      </c>
      <c r="P60">
        <f t="shared" si="8"/>
        <v>162000</v>
      </c>
      <c r="Q60" s="30">
        <f>VLOOKUP(B60,Sheet2!$A$15:$G$380,5,FALSE)*S60/10</f>
        <v>846000</v>
      </c>
      <c r="R60" s="30">
        <f>VLOOKUP(B60,Sheet2!$A$15:$G$380,7,FALSE)*S60/10</f>
        <v>842000</v>
      </c>
      <c r="S60">
        <v>10</v>
      </c>
      <c r="T60" s="33">
        <f t="shared" si="9"/>
        <v>-4.7058823529411761E-3</v>
      </c>
      <c r="U60" s="33">
        <f t="shared" si="10"/>
        <v>-9.4117647058823521E-3</v>
      </c>
    </row>
    <row r="61" spans="1:26" x14ac:dyDescent="0.3">
      <c r="A61" t="s">
        <v>51</v>
      </c>
      <c r="B61" s="5">
        <v>45799</v>
      </c>
      <c r="C61" s="6">
        <v>833000</v>
      </c>
      <c r="D61" s="6">
        <v>833000</v>
      </c>
      <c r="E61" s="6">
        <v>837000</v>
      </c>
      <c r="F61" s="6">
        <v>152390</v>
      </c>
      <c r="G61" s="6">
        <v>126666650000</v>
      </c>
      <c r="H61" s="6">
        <f t="shared" si="11"/>
        <v>832000</v>
      </c>
      <c r="I61" s="6">
        <f t="shared" si="12"/>
        <v>835987.12049899646</v>
      </c>
      <c r="J61" s="6">
        <f t="shared" si="3"/>
        <v>833000</v>
      </c>
      <c r="K61" s="6"/>
      <c r="L61">
        <v>684000</v>
      </c>
      <c r="M61">
        <f t="shared" si="5"/>
        <v>699000</v>
      </c>
      <c r="N61">
        <f t="shared" si="6"/>
        <v>699000</v>
      </c>
      <c r="O61">
        <f t="shared" si="7"/>
        <v>684000</v>
      </c>
      <c r="P61">
        <f t="shared" si="8"/>
        <v>159634.68223999999</v>
      </c>
      <c r="Q61" s="30">
        <f>VLOOKUP(B61,Sheet2!$A$15:$G$380,5,FALSE)*S61/10</f>
        <v>843634.68223999999</v>
      </c>
      <c r="R61" s="30">
        <f>VLOOKUP(B61,Sheet2!$A$15:$G$380,7,FALSE)*S61/10</f>
        <v>840585.40025599988</v>
      </c>
      <c r="S61">
        <v>10.16427328</v>
      </c>
      <c r="T61" s="33">
        <f t="shared" si="9"/>
        <v>1.2766725378151255E-2</v>
      </c>
      <c r="U61" s="33">
        <f t="shared" si="10"/>
        <v>9.1061227563023726E-3</v>
      </c>
    </row>
    <row r="62" spans="1:26" x14ac:dyDescent="0.3">
      <c r="A62" t="s">
        <v>50</v>
      </c>
      <c r="B62" s="5">
        <v>45800</v>
      </c>
      <c r="C62" s="6">
        <v>830000</v>
      </c>
      <c r="D62" s="6">
        <v>830000</v>
      </c>
      <c r="E62" s="6">
        <v>833000</v>
      </c>
      <c r="F62" s="6">
        <v>136055</v>
      </c>
      <c r="G62" s="6">
        <v>112064399000</v>
      </c>
      <c r="H62" s="6">
        <f t="shared" si="11"/>
        <v>832000</v>
      </c>
      <c r="I62" s="6">
        <f t="shared" si="12"/>
        <v>834282.32570693933</v>
      </c>
      <c r="J62" s="6">
        <f t="shared" si="3"/>
        <v>830000</v>
      </c>
      <c r="K62" s="6"/>
      <c r="L62">
        <v>684000</v>
      </c>
      <c r="M62">
        <f t="shared" si="5"/>
        <v>697000</v>
      </c>
      <c r="N62">
        <f t="shared" si="6"/>
        <v>697000</v>
      </c>
      <c r="O62">
        <f t="shared" si="7"/>
        <v>684000</v>
      </c>
      <c r="P62">
        <f t="shared" si="8"/>
        <v>159634.68223999999</v>
      </c>
      <c r="Q62" s="30">
        <f>VLOOKUP(B62,Sheet2!$A$15:$G$380,5,FALSE)*S62/10</f>
        <v>843634.68223999999</v>
      </c>
      <c r="R62" s="30">
        <f>VLOOKUP(B62,Sheet2!$A$15:$G$380,7,FALSE)*S62/10</f>
        <v>836519.69094399991</v>
      </c>
      <c r="S62">
        <v>10.16427328</v>
      </c>
      <c r="T62" s="33">
        <f t="shared" si="9"/>
        <v>1.6427327999999995E-2</v>
      </c>
      <c r="U62" s="33">
        <f t="shared" si="10"/>
        <v>7.8550493301203783E-3</v>
      </c>
    </row>
    <row r="63" spans="1:26" x14ac:dyDescent="0.3">
      <c r="B63" s="5">
        <v>45801</v>
      </c>
      <c r="C63" s="6">
        <v>830000</v>
      </c>
      <c r="D63" s="6">
        <v>830000</v>
      </c>
      <c r="E63" s="6">
        <v>833000</v>
      </c>
      <c r="F63" s="6">
        <v>136055</v>
      </c>
      <c r="G63" s="6">
        <v>112064399000</v>
      </c>
      <c r="H63" s="6">
        <f t="shared" si="11"/>
        <v>832000</v>
      </c>
      <c r="I63" s="6">
        <f t="shared" si="12"/>
        <v>832503.34800941637</v>
      </c>
      <c r="J63" s="6">
        <f t="shared" si="3"/>
        <v>830000</v>
      </c>
      <c r="K63" s="6"/>
      <c r="L63">
        <v>684000</v>
      </c>
      <c r="M63">
        <f t="shared" si="5"/>
        <v>697000</v>
      </c>
      <c r="N63">
        <f t="shared" si="6"/>
        <v>697000</v>
      </c>
      <c r="O63">
        <f t="shared" si="7"/>
        <v>684000</v>
      </c>
      <c r="P63">
        <f t="shared" si="8"/>
        <v>159634.68223999999</v>
      </c>
      <c r="Q63" s="30">
        <f>VLOOKUP(B63,Sheet2!$A$15:$G$380,5,FALSE)*S63/10</f>
        <v>843634.68223999999</v>
      </c>
      <c r="R63" s="30">
        <f>VLOOKUP(B63,Sheet2!$A$15:$G$380,7,FALSE)*S63/10</f>
        <v>836519.69094399991</v>
      </c>
      <c r="S63">
        <v>10.16427328</v>
      </c>
      <c r="T63" s="33">
        <f t="shared" si="9"/>
        <v>1.6427327999999995E-2</v>
      </c>
      <c r="U63" s="33">
        <f t="shared" si="10"/>
        <v>7.8550493301203783E-3</v>
      </c>
    </row>
    <row r="64" spans="1:26" x14ac:dyDescent="0.3">
      <c r="B64" s="7">
        <v>45802</v>
      </c>
      <c r="C64" s="8">
        <v>830000</v>
      </c>
      <c r="D64" s="8">
        <v>830000</v>
      </c>
      <c r="E64" s="8">
        <v>833000</v>
      </c>
      <c r="F64" s="8">
        <v>136055</v>
      </c>
      <c r="G64" s="8">
        <v>112064399000</v>
      </c>
      <c r="H64" s="6">
        <f t="shared" si="11"/>
        <v>832000</v>
      </c>
      <c r="I64" s="6">
        <f t="shared" si="12"/>
        <v>830645.23769205064</v>
      </c>
      <c r="J64" s="6">
        <f t="shared" si="3"/>
        <v>830000</v>
      </c>
      <c r="K64" s="6"/>
      <c r="L64">
        <v>684000</v>
      </c>
      <c r="M64">
        <f t="shared" si="5"/>
        <v>697000</v>
      </c>
      <c r="N64">
        <f t="shared" si="6"/>
        <v>697000</v>
      </c>
      <c r="O64">
        <f t="shared" si="7"/>
        <v>684000</v>
      </c>
      <c r="P64">
        <f t="shared" si="8"/>
        <v>159634.68223999999</v>
      </c>
      <c r="Q64" s="30">
        <f>VLOOKUP(B64,Sheet2!$A$15:$G$380,5,FALSE)*S64/10</f>
        <v>843634.68223999999</v>
      </c>
      <c r="R64" s="30">
        <f>VLOOKUP(B64,Sheet2!$A$15:$G$380,7,FALSE)*S64/10</f>
        <v>836519.69094399991</v>
      </c>
      <c r="S64">
        <v>10.16427328</v>
      </c>
      <c r="T64" s="33">
        <f t="shared" si="9"/>
        <v>1.6427327999999995E-2</v>
      </c>
      <c r="U64" s="33">
        <f t="shared" si="10"/>
        <v>7.8550493301203783E-3</v>
      </c>
    </row>
    <row r="65" spans="2:21" x14ac:dyDescent="0.3">
      <c r="B65" s="5">
        <v>45803</v>
      </c>
      <c r="C65" s="6">
        <v>833000</v>
      </c>
      <c r="D65" s="6">
        <v>833000</v>
      </c>
      <c r="E65" s="6">
        <v>830000</v>
      </c>
      <c r="F65" s="6">
        <v>169509</v>
      </c>
      <c r="G65" s="6">
        <v>138728492000</v>
      </c>
      <c r="H65" s="6">
        <f t="shared" si="11"/>
        <v>832000</v>
      </c>
      <c r="I65" s="6">
        <f t="shared" si="12"/>
        <v>828190.49612700404</v>
      </c>
      <c r="J65" s="6">
        <f t="shared" si="3"/>
        <v>833000</v>
      </c>
      <c r="K65" s="6"/>
      <c r="L65">
        <v>684000</v>
      </c>
      <c r="M65">
        <f t="shared" si="5"/>
        <v>697000</v>
      </c>
      <c r="N65">
        <f t="shared" si="6"/>
        <v>697000</v>
      </c>
      <c r="O65">
        <f t="shared" si="7"/>
        <v>684000</v>
      </c>
      <c r="P65">
        <f t="shared" si="8"/>
        <v>159634.68223999999</v>
      </c>
      <c r="Q65" s="30">
        <f>VLOOKUP(B65,Sheet2!$A$15:$G$380,5,FALSE)*S65/10</f>
        <v>843634.68223999999</v>
      </c>
      <c r="R65" s="30">
        <f>VLOOKUP(B65,Sheet2!$A$15:$G$380,7,FALSE)*S65/10</f>
        <v>835503.26361600007</v>
      </c>
      <c r="S65">
        <v>10.16427328</v>
      </c>
      <c r="T65" s="33">
        <f t="shared" si="9"/>
        <v>1.2766725378151255E-2</v>
      </c>
      <c r="U65" s="33">
        <f t="shared" si="10"/>
        <v>3.0051183865547051E-3</v>
      </c>
    </row>
    <row r="66" spans="2:21" x14ac:dyDescent="0.3">
      <c r="B66" s="5">
        <v>45804</v>
      </c>
      <c r="C66" s="6">
        <v>887000</v>
      </c>
      <c r="D66" s="6">
        <v>887000</v>
      </c>
      <c r="E66" s="6">
        <v>833000</v>
      </c>
      <c r="F66" s="6">
        <v>369030</v>
      </c>
      <c r="G66" s="6">
        <v>322480514500</v>
      </c>
      <c r="H66" s="6">
        <f t="shared" si="11"/>
        <v>834000</v>
      </c>
      <c r="I66" s="6">
        <f t="shared" si="12"/>
        <v>840782.60595419398</v>
      </c>
      <c r="J66" s="6">
        <f t="shared" si="3"/>
        <v>887000</v>
      </c>
      <c r="K66" s="6"/>
      <c r="L66">
        <v>684000</v>
      </c>
      <c r="M66">
        <f t="shared" si="5"/>
        <v>717000</v>
      </c>
      <c r="N66">
        <f t="shared" si="6"/>
        <v>717000</v>
      </c>
      <c r="O66">
        <f t="shared" si="7"/>
        <v>684000</v>
      </c>
      <c r="P66">
        <f t="shared" si="8"/>
        <v>217571.0399359999</v>
      </c>
      <c r="Q66" s="30">
        <f>VLOOKUP(B66,Sheet2!$A$15:$G$380,5,FALSE)*S66/10</f>
        <v>901571.0399359999</v>
      </c>
      <c r="R66" s="30">
        <f>VLOOKUP(B66,Sheet2!$A$15:$G$380,7,FALSE)*S66/10</f>
        <v>896488.90329599997</v>
      </c>
      <c r="S66">
        <v>10.16427328</v>
      </c>
      <c r="T66" s="33">
        <f t="shared" si="9"/>
        <v>1.6427327999999887E-2</v>
      </c>
      <c r="U66" s="33">
        <f t="shared" si="10"/>
        <v>1.0697748924464458E-2</v>
      </c>
    </row>
    <row r="67" spans="2:21" x14ac:dyDescent="0.3">
      <c r="B67" s="5">
        <v>45805</v>
      </c>
      <c r="C67" s="6">
        <v>832000</v>
      </c>
      <c r="D67" s="6">
        <v>832000</v>
      </c>
      <c r="E67" s="6">
        <v>887000</v>
      </c>
      <c r="F67" s="6">
        <v>320783</v>
      </c>
      <c r="G67" s="6">
        <v>275343661000</v>
      </c>
      <c r="H67" s="6">
        <f t="shared" si="11"/>
        <v>836000</v>
      </c>
      <c r="I67" s="6">
        <f t="shared" si="12"/>
        <v>844729.87061555334</v>
      </c>
      <c r="J67" s="6">
        <f t="shared" si="3"/>
        <v>832000</v>
      </c>
      <c r="K67" s="6"/>
      <c r="L67">
        <v>684000</v>
      </c>
      <c r="M67">
        <f t="shared" si="5"/>
        <v>698000</v>
      </c>
      <c r="N67">
        <f t="shared" si="6"/>
        <v>698000</v>
      </c>
      <c r="O67">
        <f t="shared" si="7"/>
        <v>684000</v>
      </c>
      <c r="P67">
        <f t="shared" si="8"/>
        <v>160651.10956800007</v>
      </c>
      <c r="Q67" s="30">
        <f>VLOOKUP(B67,Sheet2!$A$15:$G$380,5,FALSE)*S67/10</f>
        <v>844651.10956800007</v>
      </c>
      <c r="R67" s="30">
        <f>VLOOKUP(B67,Sheet2!$A$15:$G$380,7,FALSE)*S67/10</f>
        <v>841601.82758399996</v>
      </c>
      <c r="S67">
        <v>10.16427328</v>
      </c>
      <c r="T67" s="33">
        <f t="shared" si="9"/>
        <v>1.5205660538461625E-2</v>
      </c>
      <c r="U67" s="33">
        <f t="shared" si="10"/>
        <v>1.15406581538461E-2</v>
      </c>
    </row>
    <row r="68" spans="2:21" x14ac:dyDescent="0.3">
      <c r="B68" s="5">
        <v>45806</v>
      </c>
      <c r="C68" s="6">
        <v>857000</v>
      </c>
      <c r="D68" s="6">
        <v>857000</v>
      </c>
      <c r="E68" s="6">
        <v>832000</v>
      </c>
      <c r="F68" s="6">
        <v>234459</v>
      </c>
      <c r="G68" s="6">
        <v>200746852000</v>
      </c>
      <c r="H68" s="6">
        <f t="shared" si="11"/>
        <v>837000</v>
      </c>
      <c r="I68" s="6">
        <f t="shared" si="12"/>
        <v>847895.14170283091</v>
      </c>
      <c r="J68" s="6">
        <f t="shared" si="3"/>
        <v>857000</v>
      </c>
      <c r="K68" s="6"/>
      <c r="L68">
        <v>684000</v>
      </c>
      <c r="M68">
        <f t="shared" si="5"/>
        <v>711000</v>
      </c>
      <c r="N68">
        <f t="shared" si="6"/>
        <v>711000</v>
      </c>
      <c r="O68">
        <f t="shared" si="7"/>
        <v>684000</v>
      </c>
      <c r="P68">
        <f t="shared" si="8"/>
        <v>184028.938112</v>
      </c>
      <c r="Q68" s="30">
        <f>VLOOKUP(B68,Sheet2!$A$15:$G$380,5,FALSE)*S68/10</f>
        <v>868028.938112</v>
      </c>
      <c r="R68" s="30">
        <f>VLOOKUP(B68,Sheet2!$A$15:$G$380,7,FALSE)*S68/10</f>
        <v>868028.938112</v>
      </c>
      <c r="S68">
        <v>10.16427328</v>
      </c>
      <c r="T68" s="33">
        <f t="shared" si="9"/>
        <v>1.2869239337222874E-2</v>
      </c>
      <c r="U68" s="33">
        <f t="shared" si="10"/>
        <v>1.2869239337222874E-2</v>
      </c>
    </row>
    <row r="69" spans="2:21" x14ac:dyDescent="0.3">
      <c r="B69" s="7">
        <v>45807</v>
      </c>
      <c r="C69" s="8">
        <v>811000</v>
      </c>
      <c r="D69" s="8">
        <v>811000</v>
      </c>
      <c r="E69" s="8">
        <v>857000</v>
      </c>
      <c r="F69" s="8">
        <v>436671</v>
      </c>
      <c r="G69" s="8">
        <v>358819672500</v>
      </c>
      <c r="H69" s="6">
        <f t="shared" si="11"/>
        <v>839000</v>
      </c>
      <c r="I69" s="6">
        <f t="shared" si="12"/>
        <v>843381.80323339778</v>
      </c>
      <c r="J69" s="6">
        <f t="shared" si="3"/>
        <v>811000</v>
      </c>
      <c r="K69" s="6"/>
      <c r="L69">
        <v>684000</v>
      </c>
      <c r="M69">
        <f t="shared" si="5"/>
        <v>681000</v>
      </c>
      <c r="N69">
        <f t="shared" si="6"/>
        <v>681000</v>
      </c>
      <c r="O69">
        <f t="shared" si="7"/>
        <v>681000</v>
      </c>
      <c r="P69">
        <f t="shared" si="8"/>
        <v>145355.41766400007</v>
      </c>
      <c r="Q69" s="30">
        <f>VLOOKUP(B69,Sheet2!$A$15:$G$380,5,FALSE)*S69/10</f>
        <v>826355.41766400007</v>
      </c>
      <c r="R69" s="30">
        <f>VLOOKUP(B69,Sheet2!$A$15:$G$380,7,FALSE)*S69/10</f>
        <v>825338.99033599999</v>
      </c>
      <c r="S69">
        <v>10.16427328</v>
      </c>
      <c r="T69" s="33">
        <f t="shared" si="9"/>
        <v>1.893393053514188E-2</v>
      </c>
      <c r="U69" s="33">
        <f t="shared" si="10"/>
        <v>1.7680629267570885E-2</v>
      </c>
    </row>
    <row r="70" spans="2:21" x14ac:dyDescent="0.3">
      <c r="B70" s="5">
        <v>45808</v>
      </c>
      <c r="C70" s="6">
        <v>811000</v>
      </c>
      <c r="D70" s="6">
        <v>811000</v>
      </c>
      <c r="E70" s="6">
        <v>857000</v>
      </c>
      <c r="F70" s="6">
        <v>436671</v>
      </c>
      <c r="G70" s="6">
        <v>358819672500</v>
      </c>
      <c r="H70" s="6">
        <f t="shared" si="11"/>
        <v>840000</v>
      </c>
      <c r="I70" s="6">
        <f t="shared" si="12"/>
        <v>840158.68533238745</v>
      </c>
      <c r="J70" s="6">
        <f t="shared" si="3"/>
        <v>811000</v>
      </c>
      <c r="K70" s="6"/>
      <c r="L70">
        <v>684000</v>
      </c>
      <c r="M70">
        <f t="shared" si="5"/>
        <v>681000</v>
      </c>
      <c r="N70">
        <f t="shared" si="6"/>
        <v>681000</v>
      </c>
      <c r="O70">
        <f t="shared" si="7"/>
        <v>681000</v>
      </c>
      <c r="P70">
        <f t="shared" si="8"/>
        <v>145355.41766400007</v>
      </c>
      <c r="Q70" s="30">
        <f>VLOOKUP(B70,Sheet2!$A$15:$G$380,5,FALSE)*S70/10</f>
        <v>826355.41766400007</v>
      </c>
      <c r="R70" s="30">
        <f>VLOOKUP(B70,Sheet2!$A$15:$G$380,7,FALSE)*S70/10</f>
        <v>825338.99033599999</v>
      </c>
      <c r="S70">
        <v>10.16427328</v>
      </c>
      <c r="T70" s="33">
        <f t="shared" si="9"/>
        <v>1.893393053514188E-2</v>
      </c>
      <c r="U70" s="33">
        <f t="shared" si="10"/>
        <v>1.7680629267570885E-2</v>
      </c>
    </row>
    <row r="71" spans="2:21" x14ac:dyDescent="0.3">
      <c r="B71" s="5">
        <v>45809</v>
      </c>
      <c r="C71" s="6">
        <v>811000</v>
      </c>
      <c r="D71" s="6">
        <v>811000</v>
      </c>
      <c r="E71" s="6">
        <v>857000</v>
      </c>
      <c r="F71" s="6">
        <v>436671</v>
      </c>
      <c r="G71" s="6">
        <v>358819672500</v>
      </c>
      <c r="H71" s="6">
        <f t="shared" si="11"/>
        <v>840000</v>
      </c>
      <c r="I71" s="6">
        <f t="shared" si="12"/>
        <v>837741.72703650978</v>
      </c>
      <c r="J71" s="6">
        <f t="shared" si="3"/>
        <v>811000</v>
      </c>
      <c r="K71" s="6"/>
      <c r="L71">
        <v>684000</v>
      </c>
      <c r="M71">
        <f t="shared" si="5"/>
        <v>681000</v>
      </c>
      <c r="N71">
        <f t="shared" si="6"/>
        <v>681000</v>
      </c>
      <c r="O71">
        <f t="shared" si="7"/>
        <v>681000</v>
      </c>
      <c r="P71">
        <f t="shared" si="8"/>
        <v>145355.41766400007</v>
      </c>
      <c r="Q71" s="30">
        <f>VLOOKUP(B71,Sheet2!$A$15:$G$380,5,FALSE)*S71/10</f>
        <v>826355.41766400007</v>
      </c>
      <c r="R71" s="30">
        <f>VLOOKUP(B71,Sheet2!$A$15:$G$380,7,FALSE)*S71/10</f>
        <v>825338.99033599999</v>
      </c>
      <c r="S71">
        <v>10.16427328</v>
      </c>
      <c r="T71" s="33">
        <f t="shared" si="9"/>
        <v>1.893393053514188E-2</v>
      </c>
      <c r="U71" s="33">
        <f t="shared" si="10"/>
        <v>1.7680629267570885E-2</v>
      </c>
    </row>
    <row r="72" spans="2:21" x14ac:dyDescent="0.3">
      <c r="B72" s="5">
        <v>45810</v>
      </c>
      <c r="C72" s="6">
        <v>835000</v>
      </c>
      <c r="D72" s="6">
        <v>835000</v>
      </c>
      <c r="E72" s="6">
        <v>811000</v>
      </c>
      <c r="F72" s="6">
        <v>156208</v>
      </c>
      <c r="G72" s="6">
        <v>130125590500</v>
      </c>
      <c r="H72" s="6">
        <f t="shared" si="11"/>
        <v>841000</v>
      </c>
      <c r="I72" s="6">
        <f t="shared" si="12"/>
        <v>838804.22803999006</v>
      </c>
      <c r="J72" s="6">
        <f t="shared" si="3"/>
        <v>835000</v>
      </c>
      <c r="K72" s="6"/>
      <c r="L72">
        <v>684000</v>
      </c>
      <c r="M72">
        <f t="shared" si="5"/>
        <v>701000</v>
      </c>
      <c r="N72">
        <f t="shared" si="6"/>
        <v>701000</v>
      </c>
      <c r="O72">
        <f t="shared" si="7"/>
        <v>684000</v>
      </c>
      <c r="P72">
        <f t="shared" si="8"/>
        <v>162683.96422399988</v>
      </c>
      <c r="Q72" s="30">
        <f>VLOOKUP(B72,Sheet2!$A$15:$G$380,5,FALSE)*S72/10</f>
        <v>846683.96422399988</v>
      </c>
      <c r="R72" s="30">
        <f>VLOOKUP(B72,Sheet2!$A$15:$G$380,7,FALSE)*S72/10</f>
        <v>844651.10956800007</v>
      </c>
      <c r="S72">
        <v>10.16427328</v>
      </c>
      <c r="T72" s="33">
        <f t="shared" si="9"/>
        <v>1.3992771525748359E-2</v>
      </c>
      <c r="U72" s="33">
        <f t="shared" si="10"/>
        <v>1.1558215051497093E-2</v>
      </c>
    </row>
    <row r="73" spans="2:21" x14ac:dyDescent="0.3">
      <c r="B73" s="5">
        <v>45811</v>
      </c>
      <c r="C73" s="6">
        <v>835000</v>
      </c>
      <c r="D73" s="6">
        <v>835000</v>
      </c>
      <c r="E73" s="6">
        <v>811000</v>
      </c>
      <c r="F73" s="6">
        <v>156208</v>
      </c>
      <c r="G73" s="6">
        <v>130125590500</v>
      </c>
      <c r="H73" s="6">
        <f t="shared" si="11"/>
        <v>842000</v>
      </c>
      <c r="I73" s="6">
        <f t="shared" si="12"/>
        <v>832449.30547360005</v>
      </c>
      <c r="J73" s="6">
        <f t="shared" si="3"/>
        <v>835000</v>
      </c>
      <c r="K73" s="6"/>
      <c r="L73">
        <v>684000</v>
      </c>
      <c r="M73">
        <f t="shared" si="5"/>
        <v>701000</v>
      </c>
      <c r="N73">
        <f t="shared" si="6"/>
        <v>701000</v>
      </c>
      <c r="O73">
        <f t="shared" si="7"/>
        <v>684000</v>
      </c>
      <c r="P73">
        <f t="shared" si="8"/>
        <v>162683.96422399988</v>
      </c>
      <c r="Q73" s="30">
        <f>VLOOKUP(B73,Sheet2!$A$15:$G$380,5,FALSE)*S73/10</f>
        <v>846683.96422399988</v>
      </c>
      <c r="R73" s="30">
        <f>VLOOKUP(B73,Sheet2!$A$15:$G$380,7,FALSE)*S73/10</f>
        <v>844651.10956800007</v>
      </c>
      <c r="S73">
        <v>10.16427328</v>
      </c>
      <c r="T73" s="33">
        <f t="shared" si="9"/>
        <v>1.3992771525748359E-2</v>
      </c>
      <c r="U73" s="33">
        <f t="shared" si="10"/>
        <v>1.1558215051497093E-2</v>
      </c>
    </row>
    <row r="74" spans="2:21" x14ac:dyDescent="0.3">
      <c r="B74" s="7">
        <v>45812</v>
      </c>
      <c r="C74" s="8">
        <v>845000</v>
      </c>
      <c r="D74" s="8">
        <v>845000</v>
      </c>
      <c r="E74" s="8">
        <v>835000</v>
      </c>
      <c r="F74" s="8">
        <v>213653</v>
      </c>
      <c r="G74" s="8">
        <v>178433840000</v>
      </c>
      <c r="H74" s="6">
        <f t="shared" si="11"/>
        <v>843000</v>
      </c>
      <c r="I74" s="6">
        <f t="shared" si="12"/>
        <v>828716.21015956695</v>
      </c>
      <c r="J74" s="6">
        <f t="shared" si="3"/>
        <v>845000</v>
      </c>
      <c r="K74" s="6"/>
      <c r="L74">
        <v>684000</v>
      </c>
      <c r="M74">
        <f t="shared" si="5"/>
        <v>704000</v>
      </c>
      <c r="N74">
        <f t="shared" si="6"/>
        <v>704000</v>
      </c>
      <c r="O74">
        <f t="shared" si="7"/>
        <v>684000</v>
      </c>
      <c r="P74">
        <f t="shared" si="8"/>
        <v>171831.810176</v>
      </c>
      <c r="Q74" s="30">
        <f>VLOOKUP(B74,Sheet2!$A$15:$G$380,5,FALSE)*S74/10</f>
        <v>855831.810176</v>
      </c>
      <c r="R74" s="30">
        <f>VLOOKUP(B74,Sheet2!$A$15:$G$380,7,FALSE)*S74/10</f>
        <v>854815.38284799992</v>
      </c>
      <c r="S74">
        <v>10.16427328</v>
      </c>
      <c r="T74" s="33">
        <f t="shared" si="9"/>
        <v>1.2818710267455621E-2</v>
      </c>
      <c r="U74" s="33">
        <f t="shared" si="10"/>
        <v>1.1615837689940735E-2</v>
      </c>
    </row>
    <row r="75" spans="2:21" x14ac:dyDescent="0.3">
      <c r="B75" s="5">
        <v>45813</v>
      </c>
      <c r="C75" s="6">
        <v>905000</v>
      </c>
      <c r="D75" s="6">
        <v>905000</v>
      </c>
      <c r="E75" s="6">
        <v>845000</v>
      </c>
      <c r="F75" s="6">
        <v>512018</v>
      </c>
      <c r="G75" s="6">
        <v>457733740965</v>
      </c>
      <c r="H75" s="6">
        <f t="shared" si="11"/>
        <v>847000</v>
      </c>
      <c r="I75" s="6">
        <f t="shared" si="12"/>
        <v>840201.77141731617</v>
      </c>
      <c r="J75" s="6">
        <f t="shared" si="3"/>
        <v>905000</v>
      </c>
      <c r="K75" s="6"/>
      <c r="L75">
        <v>684000</v>
      </c>
      <c r="M75">
        <f t="shared" si="5"/>
        <v>725000</v>
      </c>
      <c r="N75">
        <f t="shared" si="6"/>
        <v>725000</v>
      </c>
      <c r="O75">
        <f t="shared" si="7"/>
        <v>684000</v>
      </c>
      <c r="P75">
        <f t="shared" si="8"/>
        <v>232817.44985600002</v>
      </c>
      <c r="Q75" s="30">
        <f>VLOOKUP(B75,Sheet2!$A$15:$G$380,5,FALSE)*S75/10</f>
        <v>916817.44985600002</v>
      </c>
      <c r="R75" s="30">
        <f>VLOOKUP(B75,Sheet2!$A$15:$G$380,7,FALSE)*S75/10</f>
        <v>910718.88588800002</v>
      </c>
      <c r="S75">
        <v>10.16427328</v>
      </c>
      <c r="T75" s="33">
        <f t="shared" si="9"/>
        <v>1.3057955641988974E-2</v>
      </c>
      <c r="U75" s="33">
        <f t="shared" si="10"/>
        <v>6.3192109259668713E-3</v>
      </c>
    </row>
    <row r="76" spans="2:21" x14ac:dyDescent="0.3">
      <c r="B76" s="5">
        <v>45814</v>
      </c>
      <c r="C76" s="6">
        <v>905000</v>
      </c>
      <c r="D76" s="6">
        <v>905000</v>
      </c>
      <c r="E76" s="6">
        <v>845000</v>
      </c>
      <c r="F76" s="6">
        <v>512018</v>
      </c>
      <c r="G76" s="6">
        <v>457733740965</v>
      </c>
      <c r="H76" s="6">
        <f t="shared" si="11"/>
        <v>850000</v>
      </c>
      <c r="I76" s="6">
        <f t="shared" si="12"/>
        <v>854894.63888832729</v>
      </c>
      <c r="J76" s="6">
        <f t="shared" si="3"/>
        <v>905000</v>
      </c>
      <c r="K76" s="6"/>
      <c r="L76">
        <v>684000</v>
      </c>
      <c r="M76">
        <f t="shared" si="5"/>
        <v>730000</v>
      </c>
      <c r="N76">
        <f t="shared" si="6"/>
        <v>730000</v>
      </c>
      <c r="O76">
        <f t="shared" si="7"/>
        <v>684000</v>
      </c>
      <c r="P76">
        <f t="shared" si="8"/>
        <v>232817.44985600002</v>
      </c>
      <c r="Q76" s="30">
        <f>VLOOKUP(B76,Sheet2!$A$15:$G$380,5,FALSE)*S76/10</f>
        <v>916817.44985600002</v>
      </c>
      <c r="R76" s="30">
        <f>VLOOKUP(B76,Sheet2!$A$15:$G$380,7,FALSE)*S76/10</f>
        <v>910718.88588800002</v>
      </c>
      <c r="S76">
        <v>10.16427328</v>
      </c>
      <c r="T76" s="33">
        <f t="shared" si="9"/>
        <v>1.3057955641988974E-2</v>
      </c>
      <c r="U76" s="33">
        <f t="shared" si="10"/>
        <v>6.3192109259668713E-3</v>
      </c>
    </row>
    <row r="77" spans="2:21" x14ac:dyDescent="0.3">
      <c r="B77" s="5">
        <v>45815</v>
      </c>
      <c r="C77" s="6">
        <v>905000</v>
      </c>
      <c r="D77" s="6">
        <v>905000</v>
      </c>
      <c r="E77" s="6">
        <v>845000</v>
      </c>
      <c r="F77" s="6">
        <v>512018</v>
      </c>
      <c r="G77" s="6">
        <v>457733740965</v>
      </c>
      <c r="H77" s="6">
        <f t="shared" si="11"/>
        <v>851000</v>
      </c>
      <c r="I77" s="6">
        <f t="shared" si="12"/>
        <v>868701.4281269284</v>
      </c>
      <c r="J77" s="6">
        <f t="shared" si="3"/>
        <v>905000</v>
      </c>
      <c r="K77" s="6"/>
      <c r="L77">
        <v>684000</v>
      </c>
      <c r="M77">
        <f t="shared" si="5"/>
        <v>734000</v>
      </c>
      <c r="N77">
        <f t="shared" si="6"/>
        <v>734000</v>
      </c>
      <c r="O77">
        <f t="shared" si="7"/>
        <v>684000</v>
      </c>
      <c r="P77">
        <f t="shared" si="8"/>
        <v>232817.44985600002</v>
      </c>
      <c r="Q77" s="30">
        <f>VLOOKUP(B77,Sheet2!$A$15:$G$380,5,FALSE)*S77/10</f>
        <v>916817.44985600002</v>
      </c>
      <c r="R77" s="30">
        <f>VLOOKUP(B77,Sheet2!$A$15:$G$380,7,FALSE)*S77/10</f>
        <v>910718.88588800002</v>
      </c>
      <c r="S77">
        <v>10.16427328</v>
      </c>
      <c r="T77" s="33">
        <f t="shared" si="9"/>
        <v>1.3057955641988974E-2</v>
      </c>
      <c r="U77" s="33">
        <f t="shared" si="10"/>
        <v>6.3192109259668713E-3</v>
      </c>
    </row>
    <row r="78" spans="2:21" x14ac:dyDescent="0.3">
      <c r="B78" s="5">
        <v>45816</v>
      </c>
      <c r="C78" s="6">
        <v>905000</v>
      </c>
      <c r="D78" s="6">
        <v>905000</v>
      </c>
      <c r="E78" s="6">
        <v>845000</v>
      </c>
      <c r="F78" s="6">
        <v>512018</v>
      </c>
      <c r="G78" s="6">
        <v>457733740965</v>
      </c>
      <c r="H78" s="6">
        <f t="shared" si="11"/>
        <v>852000</v>
      </c>
      <c r="I78" s="6">
        <f t="shared" si="12"/>
        <v>881699.94761747704</v>
      </c>
      <c r="J78" s="6">
        <f t="shared" si="3"/>
        <v>905000</v>
      </c>
      <c r="K78" s="6"/>
      <c r="L78">
        <v>684000</v>
      </c>
      <c r="M78">
        <f t="shared" si="5"/>
        <v>738000</v>
      </c>
      <c r="N78">
        <f t="shared" si="6"/>
        <v>738000</v>
      </c>
      <c r="O78">
        <f t="shared" si="7"/>
        <v>684000</v>
      </c>
      <c r="P78">
        <f t="shared" si="8"/>
        <v>232817.44985600002</v>
      </c>
      <c r="Q78" s="30">
        <f>VLOOKUP(B78,Sheet2!$A$15:$G$380,5,FALSE)*S78/10</f>
        <v>916817.44985600002</v>
      </c>
      <c r="R78" s="30">
        <f>VLOOKUP(B78,Sheet2!$A$15:$G$380,7,FALSE)*S78/10</f>
        <v>910718.88588800002</v>
      </c>
      <c r="S78">
        <v>10.16427328</v>
      </c>
      <c r="T78" s="33">
        <f t="shared" si="9"/>
        <v>1.3057955641988974E-2</v>
      </c>
      <c r="U78" s="33">
        <f t="shared" si="10"/>
        <v>6.3192109259668713E-3</v>
      </c>
    </row>
    <row r="79" spans="2:21" x14ac:dyDescent="0.3">
      <c r="B79" s="7">
        <v>45817</v>
      </c>
      <c r="C79" s="8">
        <v>880000</v>
      </c>
      <c r="D79" s="8">
        <v>880000</v>
      </c>
      <c r="E79" s="8">
        <v>905000</v>
      </c>
      <c r="F79" s="8">
        <v>284593</v>
      </c>
      <c r="G79" s="8">
        <v>249291234500</v>
      </c>
      <c r="H79" s="6">
        <f t="shared" si="11"/>
        <v>852000</v>
      </c>
      <c r="I79" s="6">
        <f t="shared" si="12"/>
        <v>883908.47261413955</v>
      </c>
      <c r="J79" s="6">
        <f t="shared" si="3"/>
        <v>880000</v>
      </c>
      <c r="K79" s="6"/>
      <c r="L79">
        <v>684000</v>
      </c>
      <c r="M79">
        <f t="shared" si="5"/>
        <v>732000</v>
      </c>
      <c r="N79">
        <f t="shared" si="6"/>
        <v>732000</v>
      </c>
      <c r="O79">
        <f t="shared" si="7"/>
        <v>684000</v>
      </c>
      <c r="P79">
        <f t="shared" si="8"/>
        <v>206390.33932799997</v>
      </c>
      <c r="Q79" s="30">
        <f>VLOOKUP(B79,Sheet2!$A$15:$G$380,5,FALSE)*S79/10</f>
        <v>890390.33932799997</v>
      </c>
      <c r="R79" s="30">
        <f>VLOOKUP(B79,Sheet2!$A$15:$G$380,7,FALSE)*S79/10</f>
        <v>889373.91199999989</v>
      </c>
      <c r="S79">
        <v>10.16427328</v>
      </c>
      <c r="T79" s="33">
        <f t="shared" si="9"/>
        <v>1.1807203781818151E-2</v>
      </c>
      <c r="U79" s="33">
        <f t="shared" si="10"/>
        <v>1.0652172727272608E-2</v>
      </c>
    </row>
    <row r="80" spans="2:21" x14ac:dyDescent="0.3">
      <c r="B80" s="5">
        <v>45818</v>
      </c>
      <c r="C80" s="6">
        <v>936000</v>
      </c>
      <c r="D80" s="6">
        <v>936000</v>
      </c>
      <c r="E80" s="6">
        <v>880000</v>
      </c>
      <c r="F80" s="6">
        <v>337596</v>
      </c>
      <c r="G80" s="6">
        <v>312882999039</v>
      </c>
      <c r="H80" s="6">
        <f t="shared" si="11"/>
        <v>854000</v>
      </c>
      <c r="I80" s="6">
        <f t="shared" si="12"/>
        <v>891685.06321582408</v>
      </c>
      <c r="J80" s="6">
        <f t="shared" si="3"/>
        <v>936000</v>
      </c>
      <c r="K80" s="6"/>
      <c r="L80">
        <v>684000</v>
      </c>
      <c r="M80">
        <f t="shared" si="5"/>
        <v>750000</v>
      </c>
      <c r="N80">
        <f t="shared" si="6"/>
        <v>750000</v>
      </c>
      <c r="O80">
        <f t="shared" si="7"/>
        <v>684000</v>
      </c>
      <c r="P80">
        <f t="shared" si="8"/>
        <v>264326.69702400011</v>
      </c>
      <c r="Q80" s="30">
        <f>VLOOKUP(B80,Sheet2!$A$15:$G$380,5,FALSE)*S80/10</f>
        <v>948326.69702400011</v>
      </c>
      <c r="R80" s="30">
        <f>VLOOKUP(B80,Sheet2!$A$15:$G$380,7,FALSE)*S80/10</f>
        <v>945277.41503999999</v>
      </c>
      <c r="S80">
        <v>10.16427328</v>
      </c>
      <c r="T80" s="33">
        <f t="shared" si="9"/>
        <v>1.3169548102564221E-2</v>
      </c>
      <c r="U80" s="33">
        <f t="shared" si="10"/>
        <v>9.911768205128197E-3</v>
      </c>
    </row>
    <row r="81" spans="1:21" x14ac:dyDescent="0.3">
      <c r="B81" s="5">
        <v>45819</v>
      </c>
      <c r="C81" s="6">
        <v>905000</v>
      </c>
      <c r="D81" s="6">
        <v>905000</v>
      </c>
      <c r="E81" s="6">
        <v>936000</v>
      </c>
      <c r="F81" s="6">
        <v>414770</v>
      </c>
      <c r="G81" s="6">
        <v>378717819000</v>
      </c>
      <c r="H81" s="6">
        <f t="shared" si="11"/>
        <v>857000</v>
      </c>
      <c r="I81" s="6">
        <f t="shared" si="12"/>
        <v>898476.22808295931</v>
      </c>
      <c r="J81" s="6">
        <f t="shared" si="3"/>
        <v>905000</v>
      </c>
      <c r="K81" s="6"/>
      <c r="L81">
        <v>684000</v>
      </c>
      <c r="M81">
        <f t="shared" si="5"/>
        <v>744000</v>
      </c>
      <c r="N81">
        <f t="shared" si="6"/>
        <v>744000</v>
      </c>
      <c r="O81">
        <f t="shared" si="7"/>
        <v>684000</v>
      </c>
      <c r="P81">
        <f t="shared" si="8"/>
        <v>235866.73183999991</v>
      </c>
      <c r="Q81" s="30">
        <f>VLOOKUP(B81,Sheet2!$A$15:$G$380,5,FALSE)*S81/10</f>
        <v>919866.73183999991</v>
      </c>
      <c r="R81" s="30">
        <f>VLOOKUP(B81,Sheet2!$A$15:$G$380,7,FALSE)*S81/10</f>
        <v>915801.02252799994</v>
      </c>
      <c r="S81">
        <v>10.16427328</v>
      </c>
      <c r="T81" s="33">
        <f t="shared" si="9"/>
        <v>1.6427327999999897E-2</v>
      </c>
      <c r="U81" s="33">
        <f t="shared" si="10"/>
        <v>1.1934831522651871E-2</v>
      </c>
    </row>
    <row r="82" spans="1:21" x14ac:dyDescent="0.3">
      <c r="B82" s="5">
        <v>45820</v>
      </c>
      <c r="C82" s="6">
        <v>953000</v>
      </c>
      <c r="D82" s="6">
        <v>953000</v>
      </c>
      <c r="E82" s="6">
        <v>905000</v>
      </c>
      <c r="F82" s="6">
        <v>442140</v>
      </c>
      <c r="G82" s="6">
        <v>414204751000</v>
      </c>
      <c r="H82" s="6">
        <f t="shared" si="11"/>
        <v>864000</v>
      </c>
      <c r="I82" s="6">
        <f t="shared" si="12"/>
        <v>904862.21642284817</v>
      </c>
      <c r="J82" s="6">
        <f t="shared" si="3"/>
        <v>953000</v>
      </c>
      <c r="K82" s="6"/>
      <c r="L82">
        <v>684000</v>
      </c>
      <c r="M82">
        <f t="shared" si="5"/>
        <v>761000</v>
      </c>
      <c r="N82">
        <f t="shared" si="6"/>
        <v>761000</v>
      </c>
      <c r="O82">
        <f t="shared" si="7"/>
        <v>684000</v>
      </c>
      <c r="P82">
        <f t="shared" si="8"/>
        <v>281605.96160000004</v>
      </c>
      <c r="Q82" s="30">
        <f>VLOOKUP(B82,Sheet2!$A$15:$G$380,5,FALSE)*S82/10</f>
        <v>965605.96160000004</v>
      </c>
      <c r="R82" s="30">
        <f>VLOOKUP(B82,Sheet2!$A$15:$G$380,7,FALSE)*S82/10</f>
        <v>956458.11564799992</v>
      </c>
      <c r="S82">
        <v>10.16427328</v>
      </c>
      <c r="T82" s="33">
        <f t="shared" si="9"/>
        <v>1.3227661699895109E-2</v>
      </c>
      <c r="U82" s="33">
        <f t="shared" si="10"/>
        <v>3.628662799580188E-3</v>
      </c>
    </row>
    <row r="83" spans="1:21" x14ac:dyDescent="0.3">
      <c r="B83" s="5">
        <v>45821</v>
      </c>
      <c r="C83" s="6">
        <v>945000</v>
      </c>
      <c r="D83" s="6">
        <v>945000</v>
      </c>
      <c r="E83" s="6">
        <v>953000</v>
      </c>
      <c r="F83" s="6">
        <v>493711</v>
      </c>
      <c r="G83" s="6">
        <v>469667906000</v>
      </c>
      <c r="H83" s="6">
        <f t="shared" si="11"/>
        <v>870000</v>
      </c>
      <c r="I83" s="6">
        <f t="shared" si="12"/>
        <v>914372.04029469646</v>
      </c>
      <c r="J83" s="6">
        <f t="shared" si="3"/>
        <v>945000</v>
      </c>
      <c r="K83" s="6"/>
      <c r="L83">
        <v>684000</v>
      </c>
      <c r="M83">
        <f t="shared" si="5"/>
        <v>764000</v>
      </c>
      <c r="N83">
        <f t="shared" si="6"/>
        <v>764000</v>
      </c>
      <c r="O83">
        <f t="shared" si="7"/>
        <v>684000</v>
      </c>
      <c r="P83">
        <f t="shared" si="8"/>
        <v>274490.97030399996</v>
      </c>
      <c r="Q83" s="30">
        <f>VLOOKUP(B83,Sheet2!$A$15:$G$380,5,FALSE)*S83/10</f>
        <v>958490.97030399996</v>
      </c>
      <c r="R83" s="30">
        <f>VLOOKUP(B83,Sheet2!$A$15:$G$380,7,FALSE)*S83/10</f>
        <v>961540.25228799996</v>
      </c>
      <c r="S83">
        <v>10.16427328</v>
      </c>
      <c r="T83" s="33">
        <f t="shared" si="9"/>
        <v>1.4276159051851808E-2</v>
      </c>
      <c r="U83" s="33">
        <f t="shared" si="10"/>
        <v>1.7502912474074032E-2</v>
      </c>
    </row>
    <row r="84" spans="1:21" x14ac:dyDescent="0.3">
      <c r="B84" s="7">
        <v>45822</v>
      </c>
      <c r="C84" s="8">
        <v>945000</v>
      </c>
      <c r="D84" s="8">
        <v>945000</v>
      </c>
      <c r="E84" s="8">
        <v>953000</v>
      </c>
      <c r="F84" s="8">
        <v>493711</v>
      </c>
      <c r="G84" s="8">
        <v>469667906000</v>
      </c>
      <c r="H84" s="6">
        <f t="shared" si="11"/>
        <v>875000</v>
      </c>
      <c r="I84" s="6">
        <f t="shared" si="12"/>
        <v>923998.7646641524</v>
      </c>
      <c r="J84" s="6">
        <f t="shared" si="3"/>
        <v>945000</v>
      </c>
      <c r="K84" s="6"/>
      <c r="L84">
        <v>684000</v>
      </c>
      <c r="M84">
        <f t="shared" si="5"/>
        <v>768000</v>
      </c>
      <c r="N84">
        <f t="shared" si="6"/>
        <v>768000</v>
      </c>
      <c r="O84">
        <f t="shared" si="7"/>
        <v>684000</v>
      </c>
      <c r="P84">
        <f t="shared" si="8"/>
        <v>274490.97030399996</v>
      </c>
      <c r="Q84" s="30">
        <f>VLOOKUP(B84,Sheet2!$A$15:$G$380,5,FALSE)*S84/10</f>
        <v>958490.97030399996</v>
      </c>
      <c r="R84" s="30">
        <f>VLOOKUP(B84,Sheet2!$A$15:$G$380,7,FALSE)*S84/10</f>
        <v>961540.25228799996</v>
      </c>
      <c r="S84">
        <v>10.16427328</v>
      </c>
      <c r="T84" s="33">
        <f t="shared" si="9"/>
        <v>1.4276159051851808E-2</v>
      </c>
      <c r="U84" s="33">
        <f t="shared" si="10"/>
        <v>1.7502912474074032E-2</v>
      </c>
    </row>
    <row r="85" spans="1:21" x14ac:dyDescent="0.3">
      <c r="B85" s="5">
        <v>45823</v>
      </c>
      <c r="C85" s="6">
        <v>945000</v>
      </c>
      <c r="D85" s="6">
        <v>945000</v>
      </c>
      <c r="E85" s="6">
        <v>953000</v>
      </c>
      <c r="F85" s="6">
        <v>493711</v>
      </c>
      <c r="G85" s="6">
        <v>469667906000</v>
      </c>
      <c r="H85" s="6">
        <f t="shared" si="11"/>
        <v>880000</v>
      </c>
      <c r="I85" s="6">
        <f t="shared" si="12"/>
        <v>933744.55837887025</v>
      </c>
      <c r="J85" s="6">
        <f t="shared" si="3"/>
        <v>945000</v>
      </c>
      <c r="K85" s="6"/>
      <c r="L85">
        <v>684000</v>
      </c>
      <c r="M85">
        <f t="shared" si="5"/>
        <v>772000</v>
      </c>
      <c r="N85">
        <f t="shared" si="6"/>
        <v>772000</v>
      </c>
      <c r="O85">
        <f t="shared" si="7"/>
        <v>684000</v>
      </c>
      <c r="P85">
        <f t="shared" si="8"/>
        <v>274490.97030399996</v>
      </c>
      <c r="Q85" s="30">
        <f>VLOOKUP(B85,Sheet2!$A$15:$G$380,5,FALSE)*S85/10</f>
        <v>958490.97030399996</v>
      </c>
      <c r="R85" s="30">
        <f>VLOOKUP(B85,Sheet2!$A$15:$G$380,7,FALSE)*S85/10</f>
        <v>961540.25228799996</v>
      </c>
      <c r="S85">
        <v>10.16427328</v>
      </c>
      <c r="T85" s="33">
        <f t="shared" si="9"/>
        <v>1.4276159051851808E-2</v>
      </c>
      <c r="U85" s="33">
        <f t="shared" si="10"/>
        <v>1.7502912474074032E-2</v>
      </c>
    </row>
    <row r="86" spans="1:21" x14ac:dyDescent="0.3">
      <c r="B86" s="5">
        <v>45824</v>
      </c>
      <c r="C86" s="6">
        <v>970000</v>
      </c>
      <c r="D86" s="6">
        <v>970000</v>
      </c>
      <c r="E86" s="6">
        <v>945000</v>
      </c>
      <c r="F86" s="6">
        <v>326298</v>
      </c>
      <c r="G86" s="6">
        <v>316379635000</v>
      </c>
      <c r="H86" s="6">
        <f t="shared" si="11"/>
        <v>884000</v>
      </c>
      <c r="I86" s="6">
        <f t="shared" si="12"/>
        <v>943120.69908162626</v>
      </c>
      <c r="J86" s="6">
        <f t="shared" si="3"/>
        <v>970000</v>
      </c>
      <c r="K86" s="6"/>
      <c r="L86">
        <v>684000</v>
      </c>
      <c r="M86">
        <f t="shared" si="5"/>
        <v>782000</v>
      </c>
      <c r="N86">
        <f t="shared" si="6"/>
        <v>782000</v>
      </c>
      <c r="O86">
        <f t="shared" si="7"/>
        <v>684000</v>
      </c>
      <c r="P86">
        <f t="shared" si="8"/>
        <v>294819.51686399989</v>
      </c>
      <c r="Q86" s="30">
        <f>VLOOKUP(B86,Sheet2!$A$15:$G$380,5,FALSE)*S86/10</f>
        <v>978819.51686399989</v>
      </c>
      <c r="R86" s="30">
        <f>VLOOKUP(B86,Sheet2!$A$15:$G$380,7,FALSE)*S86/10</f>
        <v>977803.08953600004</v>
      </c>
      <c r="S86">
        <v>10.16427328</v>
      </c>
      <c r="T86" s="33">
        <f t="shared" si="9"/>
        <v>9.0922854268040091E-3</v>
      </c>
      <c r="U86" s="33">
        <f t="shared" si="10"/>
        <v>8.0444222020619009E-3</v>
      </c>
    </row>
    <row r="87" spans="1:21" x14ac:dyDescent="0.3">
      <c r="B87" s="5">
        <v>45825</v>
      </c>
      <c r="C87" s="6">
        <v>954000</v>
      </c>
      <c r="D87" s="6">
        <v>954000</v>
      </c>
      <c r="E87" s="6">
        <v>970000</v>
      </c>
      <c r="F87" s="6">
        <v>270383</v>
      </c>
      <c r="G87" s="6">
        <v>257235328500</v>
      </c>
      <c r="H87" s="6">
        <f t="shared" si="11"/>
        <v>886000</v>
      </c>
      <c r="I87" s="6">
        <f t="shared" si="12"/>
        <v>945758.86914749048</v>
      </c>
      <c r="J87" s="6">
        <f t="shared" si="3"/>
        <v>954000</v>
      </c>
      <c r="K87" s="6"/>
      <c r="L87">
        <v>684000</v>
      </c>
      <c r="M87">
        <f t="shared" si="5"/>
        <v>779000</v>
      </c>
      <c r="N87">
        <f t="shared" si="6"/>
        <v>779000</v>
      </c>
      <c r="O87">
        <f t="shared" si="7"/>
        <v>684000</v>
      </c>
      <c r="P87">
        <f t="shared" si="8"/>
        <v>277540.25228799996</v>
      </c>
      <c r="Q87" s="30">
        <f>VLOOKUP(B87,Sheet2!$A$15:$G$380,5,FALSE)*S87/10</f>
        <v>961540.25228799996</v>
      </c>
      <c r="R87" s="30">
        <f>VLOOKUP(B87,Sheet2!$A$15:$G$380,7,FALSE)*S87/10</f>
        <v>969671.670912</v>
      </c>
      <c r="S87">
        <v>10.16427328</v>
      </c>
      <c r="T87" s="33">
        <f t="shared" si="9"/>
        <v>7.9038283941299369E-3</v>
      </c>
      <c r="U87" s="33">
        <f t="shared" si="10"/>
        <v>1.6427328000000001E-2</v>
      </c>
    </row>
    <row r="88" spans="1:21" x14ac:dyDescent="0.3">
      <c r="B88" s="5">
        <v>45826</v>
      </c>
      <c r="C88" s="6">
        <v>927000</v>
      </c>
      <c r="D88" s="6">
        <v>927000</v>
      </c>
      <c r="E88" s="6">
        <v>954000</v>
      </c>
      <c r="F88" s="6">
        <v>257813</v>
      </c>
      <c r="G88" s="6">
        <v>242546091410</v>
      </c>
      <c r="H88" s="6">
        <f t="shared" si="11"/>
        <v>888000</v>
      </c>
      <c r="I88" s="6">
        <f t="shared" si="12"/>
        <v>950176.71529325529</v>
      </c>
      <c r="J88" s="6">
        <f t="shared" si="3"/>
        <v>927000</v>
      </c>
      <c r="K88" s="6"/>
      <c r="L88">
        <v>684000</v>
      </c>
      <c r="M88">
        <f t="shared" si="5"/>
        <v>774000</v>
      </c>
      <c r="N88">
        <f t="shared" si="6"/>
        <v>774000</v>
      </c>
      <c r="O88">
        <f t="shared" si="7"/>
        <v>684000</v>
      </c>
      <c r="P88">
        <f t="shared" si="8"/>
        <v>253145.99641599995</v>
      </c>
      <c r="Q88" s="30">
        <f>VLOOKUP(B88,Sheet2!$A$15:$G$380,5,FALSE)*S88/10</f>
        <v>937145.99641599995</v>
      </c>
      <c r="R88" s="30">
        <f>VLOOKUP(B88,Sheet2!$A$15:$G$380,7,FALSE)*S88/10</f>
        <v>936129.56908800011</v>
      </c>
      <c r="S88">
        <v>10.16427328</v>
      </c>
      <c r="T88" s="33">
        <f t="shared" si="9"/>
        <v>1.0944979952535006E-2</v>
      </c>
      <c r="U88" s="33">
        <f t="shared" si="10"/>
        <v>9.8485103430421845E-3</v>
      </c>
    </row>
    <row r="89" spans="1:21" x14ac:dyDescent="0.3">
      <c r="B89" s="7">
        <v>45827</v>
      </c>
      <c r="C89" s="8">
        <v>934000</v>
      </c>
      <c r="D89" s="8">
        <v>934000</v>
      </c>
      <c r="E89" s="8">
        <v>927000</v>
      </c>
      <c r="F89" s="8">
        <v>198303</v>
      </c>
      <c r="G89" s="8">
        <v>183436543000</v>
      </c>
      <c r="H89" s="6">
        <f t="shared" si="11"/>
        <v>890000</v>
      </c>
      <c r="I89" s="6">
        <f t="shared" si="12"/>
        <v>950539.80019574333</v>
      </c>
      <c r="J89" s="6">
        <f t="shared" si="3"/>
        <v>934000</v>
      </c>
      <c r="K89" s="6"/>
      <c r="L89">
        <v>684000</v>
      </c>
      <c r="M89">
        <f t="shared" si="5"/>
        <v>776000</v>
      </c>
      <c r="N89">
        <f t="shared" si="6"/>
        <v>776000</v>
      </c>
      <c r="O89">
        <f t="shared" si="7"/>
        <v>684000</v>
      </c>
      <c r="P89">
        <f t="shared" si="8"/>
        <v>261277.41503999999</v>
      </c>
      <c r="Q89" s="30">
        <f>VLOOKUP(B89,Sheet2!$A$15:$G$380,5,FALSE)*S89/10</f>
        <v>945277.41503999999</v>
      </c>
      <c r="R89" s="30">
        <f>VLOOKUP(B89,Sheet2!$A$15:$G$380,7,FALSE)*S89/10</f>
        <v>947310.26969600003</v>
      </c>
      <c r="S89">
        <v>10.16427328</v>
      </c>
      <c r="T89" s="33">
        <f t="shared" si="9"/>
        <v>1.2074320171306201E-2</v>
      </c>
      <c r="U89" s="33">
        <f t="shared" si="10"/>
        <v>1.425082408565314E-2</v>
      </c>
    </row>
    <row r="90" spans="1:21" s="15" customFormat="1" x14ac:dyDescent="0.3">
      <c r="A90" s="15" t="s">
        <v>74</v>
      </c>
      <c r="B90" s="27">
        <v>45828</v>
      </c>
      <c r="C90" s="28">
        <v>938000</v>
      </c>
      <c r="D90" s="28">
        <v>938000</v>
      </c>
      <c r="E90" s="28">
        <v>934000</v>
      </c>
      <c r="F90" s="28">
        <v>419837</v>
      </c>
      <c r="G90" s="28">
        <v>395285915500</v>
      </c>
      <c r="H90" s="28">
        <f t="shared" si="11"/>
        <v>894000</v>
      </c>
      <c r="I90" s="28">
        <f t="shared" si="12"/>
        <v>948848.04468272266</v>
      </c>
      <c r="J90" s="28">
        <f t="shared" si="3"/>
        <v>938000</v>
      </c>
      <c r="K90" s="28"/>
      <c r="L90" s="15">
        <v>684000</v>
      </c>
      <c r="M90" s="15">
        <f t="shared" si="5"/>
        <v>778000</v>
      </c>
      <c r="N90" s="15">
        <f t="shared" si="6"/>
        <v>778000</v>
      </c>
      <c r="O90" s="15">
        <f t="shared" si="7"/>
        <v>684000</v>
      </c>
      <c r="P90" s="15">
        <f t="shared" si="8"/>
        <v>269408.83366400003</v>
      </c>
      <c r="Q90" s="30">
        <f>VLOOKUP(B90,Sheet2!$A$15:$G$380,5,FALSE)*S90/10</f>
        <v>953408.83366400003</v>
      </c>
      <c r="R90" s="32">
        <f>VLOOKUP(B90,Sheet2!$A$15:$G$380,7,FALSE)*S90/10</f>
        <v>953408.83366400003</v>
      </c>
      <c r="S90" s="15">
        <v>10.16427328</v>
      </c>
      <c r="T90" s="34">
        <f t="shared" si="9"/>
        <v>1.6427328000000036E-2</v>
      </c>
      <c r="U90" s="34">
        <f t="shared" si="10"/>
        <v>1.6427328000000036E-2</v>
      </c>
    </row>
    <row r="91" spans="1:21" x14ac:dyDescent="0.3">
      <c r="B91" s="5">
        <v>45829</v>
      </c>
      <c r="C91" s="6">
        <v>938000</v>
      </c>
      <c r="D91" s="6">
        <v>938000</v>
      </c>
      <c r="E91" s="6">
        <v>934000</v>
      </c>
      <c r="F91" s="6">
        <v>419837</v>
      </c>
      <c r="G91" s="6">
        <v>395285915500</v>
      </c>
      <c r="H91" s="6">
        <f t="shared" si="11"/>
        <v>896000</v>
      </c>
      <c r="I91" s="6">
        <f t="shared" si="12"/>
        <v>947051.5387803613</v>
      </c>
      <c r="J91" s="6">
        <f t="shared" si="3"/>
        <v>938000</v>
      </c>
      <c r="K91" s="6"/>
      <c r="L91">
        <v>684000</v>
      </c>
      <c r="M91">
        <f t="shared" si="5"/>
        <v>778000</v>
      </c>
      <c r="N91">
        <f t="shared" si="6"/>
        <v>778000</v>
      </c>
      <c r="O91">
        <f t="shared" si="7"/>
        <v>684000</v>
      </c>
      <c r="P91">
        <f t="shared" si="8"/>
        <v>269408.83366400003</v>
      </c>
      <c r="Q91" s="30">
        <f>VLOOKUP(B91,Sheet2!$A$15:$G$380,5,FALSE)*S91/10</f>
        <v>953408.83366400003</v>
      </c>
      <c r="R91" s="30">
        <f>VLOOKUP(B91,Sheet2!$A$15:$G$380,7,FALSE)*S91/10</f>
        <v>953408.83366400003</v>
      </c>
      <c r="S91">
        <v>10.16427328</v>
      </c>
      <c r="T91" s="33">
        <f t="shared" si="9"/>
        <v>1.6427328000000036E-2</v>
      </c>
      <c r="U91" s="33">
        <f t="shared" si="10"/>
        <v>1.6427328000000036E-2</v>
      </c>
    </row>
    <row r="92" spans="1:21" x14ac:dyDescent="0.3">
      <c r="B92" s="5">
        <v>45830</v>
      </c>
      <c r="C92" s="6">
        <v>938000</v>
      </c>
      <c r="D92" s="6">
        <v>938000</v>
      </c>
      <c r="E92" s="6">
        <v>934000</v>
      </c>
      <c r="F92" s="6">
        <v>419837</v>
      </c>
      <c r="G92" s="6">
        <v>395285915500</v>
      </c>
      <c r="H92" s="6">
        <f t="shared" si="11"/>
        <v>899000</v>
      </c>
      <c r="I92" s="6">
        <f t="shared" si="12"/>
        <v>945140.24274015403</v>
      </c>
      <c r="J92" s="6">
        <f t="shared" si="3"/>
        <v>938000</v>
      </c>
      <c r="K92" s="6"/>
      <c r="L92">
        <v>684000</v>
      </c>
      <c r="M92">
        <f t="shared" si="5"/>
        <v>778000</v>
      </c>
      <c r="N92">
        <f t="shared" si="6"/>
        <v>778000</v>
      </c>
      <c r="O92">
        <f t="shared" si="7"/>
        <v>684000</v>
      </c>
      <c r="P92">
        <f t="shared" si="8"/>
        <v>269408.83366400003</v>
      </c>
      <c r="Q92" s="30">
        <f>VLOOKUP(B92,Sheet2!$A$15:$G$380,5,FALSE)*S92/10</f>
        <v>953408.83366400003</v>
      </c>
      <c r="R92" s="30">
        <f>VLOOKUP(B92,Sheet2!$A$15:$G$380,7,FALSE)*S92/10</f>
        <v>953408.83366400003</v>
      </c>
      <c r="S92">
        <v>10.16427328</v>
      </c>
      <c r="T92" s="33">
        <f t="shared" si="9"/>
        <v>1.6427328000000036E-2</v>
      </c>
      <c r="U92" s="33">
        <f t="shared" si="10"/>
        <v>1.6427328000000036E-2</v>
      </c>
    </row>
    <row r="93" spans="1:21" x14ac:dyDescent="0.3">
      <c r="B93" s="5">
        <v>45831</v>
      </c>
      <c r="C93" s="6">
        <v>919000</v>
      </c>
      <c r="D93" s="6">
        <v>919000</v>
      </c>
      <c r="E93" s="6">
        <v>938000</v>
      </c>
      <c r="F93" s="6">
        <v>243428</v>
      </c>
      <c r="G93" s="6">
        <v>226034562500</v>
      </c>
      <c r="H93" s="6">
        <f t="shared" si="11"/>
        <v>901000</v>
      </c>
      <c r="I93" s="6">
        <f t="shared" si="12"/>
        <v>939748.1660893911</v>
      </c>
      <c r="J93" s="6">
        <f t="shared" si="3"/>
        <v>919000</v>
      </c>
      <c r="K93" s="6"/>
      <c r="L93">
        <v>684000</v>
      </c>
      <c r="M93">
        <f t="shared" si="5"/>
        <v>771000</v>
      </c>
      <c r="N93">
        <f t="shared" si="6"/>
        <v>771000</v>
      </c>
      <c r="O93">
        <f t="shared" si="7"/>
        <v>684000</v>
      </c>
      <c r="P93">
        <f t="shared" si="8"/>
        <v>253145.99641599995</v>
      </c>
      <c r="Q93" s="30">
        <f>VLOOKUP(B93,Sheet2!$A$15:$G$380,5,FALSE)*S93/10</f>
        <v>937145.99641599995</v>
      </c>
      <c r="R93" s="30">
        <f>VLOOKUP(B93,Sheet2!$A$15:$G$380,7,FALSE)*S93/10</f>
        <v>936129.56908800011</v>
      </c>
      <c r="S93">
        <v>10.16427328</v>
      </c>
      <c r="T93" s="33">
        <f t="shared" si="9"/>
        <v>1.974537150816099E-2</v>
      </c>
      <c r="U93" s="33">
        <f t="shared" si="10"/>
        <v>1.863935700544081E-2</v>
      </c>
    </row>
    <row r="94" spans="1:21" x14ac:dyDescent="0.3">
      <c r="B94" s="7">
        <v>45832</v>
      </c>
      <c r="C94" s="8">
        <v>895000</v>
      </c>
      <c r="D94" s="8">
        <v>895000</v>
      </c>
      <c r="E94" s="8">
        <v>919000</v>
      </c>
      <c r="F94" s="8">
        <v>281041</v>
      </c>
      <c r="G94" s="8">
        <v>251324465000</v>
      </c>
      <c r="H94" s="6">
        <f t="shared" si="11"/>
        <v>902000</v>
      </c>
      <c r="I94" s="6">
        <f t="shared" si="12"/>
        <v>932638.33711144526</v>
      </c>
      <c r="J94" s="6">
        <f t="shared" si="3"/>
        <v>895000</v>
      </c>
      <c r="K94" s="6"/>
      <c r="L94">
        <v>684000</v>
      </c>
      <c r="M94">
        <f t="shared" si="5"/>
        <v>751000</v>
      </c>
      <c r="N94">
        <f t="shared" si="6"/>
        <v>751000</v>
      </c>
      <c r="O94">
        <f t="shared" si="7"/>
        <v>684000</v>
      </c>
      <c r="P94">
        <f t="shared" si="8"/>
        <v>224686.03123199998</v>
      </c>
      <c r="Q94" s="30">
        <f>VLOOKUP(B94,Sheet2!$A$15:$G$380,5,FALSE)*S94/10</f>
        <v>908686.03123199998</v>
      </c>
      <c r="R94" s="30">
        <f>VLOOKUP(B94,Sheet2!$A$15:$G$380,7,FALSE)*S94/10</f>
        <v>919866.73183999991</v>
      </c>
      <c r="S94">
        <v>10.16427328</v>
      </c>
      <c r="T94" s="33">
        <f t="shared" si="9"/>
        <v>1.5291655007821207E-2</v>
      </c>
      <c r="U94" s="33">
        <f t="shared" si="10"/>
        <v>2.7784057921787605E-2</v>
      </c>
    </row>
    <row r="95" spans="1:21" x14ac:dyDescent="0.3">
      <c r="B95" s="5">
        <v>45833</v>
      </c>
      <c r="C95" s="6">
        <v>856000</v>
      </c>
      <c r="D95" s="6">
        <v>856000</v>
      </c>
      <c r="E95" s="6">
        <v>895000</v>
      </c>
      <c r="F95" s="6">
        <v>313167</v>
      </c>
      <c r="G95" s="6">
        <v>271117947000</v>
      </c>
      <c r="H95" s="6">
        <f t="shared" si="11"/>
        <v>902000</v>
      </c>
      <c r="I95" s="6">
        <f t="shared" si="12"/>
        <v>922595.24886187888</v>
      </c>
      <c r="J95" s="6">
        <f t="shared" ref="J95:J158" si="13">C95</f>
        <v>856000</v>
      </c>
      <c r="K95" s="6"/>
      <c r="L95">
        <v>684000</v>
      </c>
      <c r="M95">
        <f t="shared" ref="M95:M158" si="14">CEILING(MIN(AVERAGE(H95,I95,J95),J95)*(1-$W$5)/(1+$W$4*$W$5),1000)</f>
        <v>718000</v>
      </c>
      <c r="N95">
        <f t="shared" ref="N95:N158" si="15">CEILING(MIN(AVERAGE(H95,I95,J95),J95)*(1-$W$5)/(1+$W$4*$W$5),1000)</f>
        <v>718000</v>
      </c>
      <c r="O95">
        <f t="shared" ref="O95:O158" si="16">MAX(MIN(L95,M95),N95*0.6)</f>
        <v>684000</v>
      </c>
      <c r="P95">
        <f t="shared" ref="P95:P158" si="17">Q95-O95</f>
        <v>188094.64742399997</v>
      </c>
      <c r="Q95" s="30">
        <f>VLOOKUP(B95,Sheet2!$A$15:$G$380,5,FALSE)*S95/10</f>
        <v>872094.64742399997</v>
      </c>
      <c r="R95" s="30">
        <f>VLOOKUP(B95,Sheet2!$A$15:$G$380,7,FALSE)*S95/10</f>
        <v>873111.07475199993</v>
      </c>
      <c r="S95">
        <v>10.16427328</v>
      </c>
      <c r="T95" s="33">
        <f t="shared" ref="T95:T158" si="18">(Q95-C95)/C95</f>
        <v>1.8802158205607437E-2</v>
      </c>
      <c r="U95" s="33">
        <f t="shared" ref="U95:U158" si="19">(R95-C95)/C95</f>
        <v>1.998957330841113E-2</v>
      </c>
    </row>
    <row r="96" spans="1:21" x14ac:dyDescent="0.3">
      <c r="A96" t="s">
        <v>65</v>
      </c>
      <c r="B96" s="5">
        <v>45834</v>
      </c>
      <c r="C96" s="6">
        <v>878000</v>
      </c>
      <c r="D96" s="6">
        <v>878000</v>
      </c>
      <c r="E96" s="6">
        <v>856000</v>
      </c>
      <c r="F96" s="6">
        <v>322082</v>
      </c>
      <c r="G96" s="6">
        <v>279012190500</v>
      </c>
      <c r="H96" s="6">
        <f t="shared" si="11"/>
        <v>902000</v>
      </c>
      <c r="I96" s="6">
        <f t="shared" si="12"/>
        <v>914897.64362943731</v>
      </c>
      <c r="J96" s="6">
        <f t="shared" si="13"/>
        <v>878000</v>
      </c>
      <c r="K96" s="6"/>
      <c r="L96">
        <v>684000</v>
      </c>
      <c r="M96">
        <f t="shared" si="14"/>
        <v>737000</v>
      </c>
      <c r="N96">
        <f t="shared" si="15"/>
        <v>737000</v>
      </c>
      <c r="O96">
        <f t="shared" si="16"/>
        <v>684000</v>
      </c>
      <c r="P96">
        <f t="shared" si="17"/>
        <v>206390.33932799997</v>
      </c>
      <c r="Q96" s="30">
        <f>VLOOKUP(B96,Sheet2!$A$15:$G$380,5,FALSE)*S96/10</f>
        <v>890390.33932799997</v>
      </c>
      <c r="R96" s="30">
        <f>VLOOKUP(B96,Sheet2!$A$15:$G$380,7,FALSE)*S96/10</f>
        <v>909702.45855999994</v>
      </c>
      <c r="S96">
        <v>10.16427328</v>
      </c>
      <c r="T96" s="33">
        <f t="shared" si="18"/>
        <v>1.4112003790432771E-2</v>
      </c>
      <c r="U96" s="33">
        <f t="shared" si="19"/>
        <v>3.6107583781321118E-2</v>
      </c>
    </row>
    <row r="97" spans="2:21" x14ac:dyDescent="0.3">
      <c r="B97" s="5">
        <v>45835</v>
      </c>
      <c r="C97" s="6">
        <v>890000</v>
      </c>
      <c r="D97" s="6">
        <v>890000</v>
      </c>
      <c r="E97" s="6">
        <v>878000</v>
      </c>
      <c r="F97" s="6">
        <v>334673</v>
      </c>
      <c r="G97" s="6">
        <v>302187613500</v>
      </c>
      <c r="H97" s="6">
        <f t="shared" si="11"/>
        <v>903000</v>
      </c>
      <c r="I97" s="6">
        <f t="shared" si="12"/>
        <v>908393.12936871941</v>
      </c>
      <c r="J97" s="6">
        <f t="shared" si="13"/>
        <v>890000</v>
      </c>
      <c r="K97" s="6"/>
      <c r="L97">
        <v>684000</v>
      </c>
      <c r="M97">
        <f t="shared" si="14"/>
        <v>747000</v>
      </c>
      <c r="N97">
        <f t="shared" si="15"/>
        <v>747000</v>
      </c>
      <c r="O97">
        <f t="shared" si="16"/>
        <v>684000</v>
      </c>
      <c r="P97">
        <f t="shared" si="17"/>
        <v>221636.74924800009</v>
      </c>
      <c r="Q97" s="30">
        <f>VLOOKUP(B97,Sheet2!$A$15:$G$380,5,FALSE)*S97/10</f>
        <v>905636.74924800009</v>
      </c>
      <c r="R97" s="30">
        <f>VLOOKUP(B97,Sheet2!$A$15:$G$380,7,FALSE)*S97/10</f>
        <v>918850.30451199994</v>
      </c>
      <c r="S97">
        <v>10.16427328</v>
      </c>
      <c r="T97" s="33">
        <f t="shared" si="18"/>
        <v>1.7569381177528196E-2</v>
      </c>
      <c r="U97" s="33">
        <f t="shared" si="19"/>
        <v>3.2416072485393195E-2</v>
      </c>
    </row>
    <row r="98" spans="2:21" x14ac:dyDescent="0.3">
      <c r="B98" s="5">
        <v>45836</v>
      </c>
      <c r="C98" s="6">
        <v>890000</v>
      </c>
      <c r="D98" s="6">
        <v>890000</v>
      </c>
      <c r="E98" s="6">
        <v>878000</v>
      </c>
      <c r="F98" s="6">
        <v>334673</v>
      </c>
      <c r="G98" s="6">
        <v>302187613500</v>
      </c>
      <c r="H98" s="6">
        <f t="shared" si="11"/>
        <v>904000</v>
      </c>
      <c r="I98" s="6">
        <f t="shared" si="12"/>
        <v>901395.97407800518</v>
      </c>
      <c r="J98" s="6">
        <f t="shared" si="13"/>
        <v>890000</v>
      </c>
      <c r="K98" s="6"/>
      <c r="L98">
        <v>684000</v>
      </c>
      <c r="M98">
        <f t="shared" si="14"/>
        <v>747000</v>
      </c>
      <c r="N98">
        <f t="shared" si="15"/>
        <v>747000</v>
      </c>
      <c r="O98">
        <f t="shared" si="16"/>
        <v>684000</v>
      </c>
      <c r="P98">
        <f t="shared" si="17"/>
        <v>221636.74924800009</v>
      </c>
      <c r="Q98" s="30">
        <f>VLOOKUP(B98,Sheet2!$A$15:$G$380,5,FALSE)*S98/10</f>
        <v>905636.74924800009</v>
      </c>
      <c r="R98" s="30">
        <f>VLOOKUP(B98,Sheet2!$A$15:$G$380,7,FALSE)*S98/10</f>
        <v>918850.30451199994</v>
      </c>
      <c r="S98">
        <v>10.16427328</v>
      </c>
      <c r="T98" s="33">
        <f t="shared" si="18"/>
        <v>1.7569381177528196E-2</v>
      </c>
      <c r="U98" s="33">
        <f t="shared" si="19"/>
        <v>3.2416072485393195E-2</v>
      </c>
    </row>
    <row r="99" spans="2:21" x14ac:dyDescent="0.3">
      <c r="B99" s="7">
        <v>45837</v>
      </c>
      <c r="C99" s="8">
        <v>890000</v>
      </c>
      <c r="D99" s="8">
        <v>890000</v>
      </c>
      <c r="E99" s="8">
        <v>878000</v>
      </c>
      <c r="F99" s="8">
        <v>334673</v>
      </c>
      <c r="G99" s="8">
        <v>302187613500</v>
      </c>
      <c r="H99" s="6">
        <f t="shared" si="11"/>
        <v>907000</v>
      </c>
      <c r="I99" s="6">
        <f t="shared" si="12"/>
        <v>893848.00717462425</v>
      </c>
      <c r="J99" s="6">
        <f t="shared" si="13"/>
        <v>890000</v>
      </c>
      <c r="K99" s="6"/>
      <c r="L99">
        <v>684000</v>
      </c>
      <c r="M99">
        <f t="shared" si="14"/>
        <v>747000</v>
      </c>
      <c r="N99">
        <f t="shared" si="15"/>
        <v>747000</v>
      </c>
      <c r="O99">
        <f t="shared" si="16"/>
        <v>684000</v>
      </c>
      <c r="P99">
        <f t="shared" si="17"/>
        <v>221636.74924800009</v>
      </c>
      <c r="Q99" s="30">
        <f>VLOOKUP(B99,Sheet2!$A$15:$G$380,5,FALSE)*S99/10</f>
        <v>905636.74924800009</v>
      </c>
      <c r="R99" s="30">
        <f>VLOOKUP(B99,Sheet2!$A$15:$G$380,7,FALSE)*S99/10</f>
        <v>918850.30451199994</v>
      </c>
      <c r="S99">
        <v>10.16427328</v>
      </c>
      <c r="T99" s="33">
        <f t="shared" si="18"/>
        <v>1.7569381177528196E-2</v>
      </c>
      <c r="U99" s="33">
        <f t="shared" si="19"/>
        <v>3.2416072485393195E-2</v>
      </c>
    </row>
    <row r="100" spans="2:21" x14ac:dyDescent="0.3">
      <c r="B100" s="5">
        <v>45838</v>
      </c>
      <c r="C100" s="6">
        <v>848000</v>
      </c>
      <c r="D100" s="6">
        <v>848000</v>
      </c>
      <c r="E100" s="6">
        <v>890000</v>
      </c>
      <c r="F100" s="6">
        <v>260471</v>
      </c>
      <c r="G100" s="6">
        <v>223336613400</v>
      </c>
      <c r="H100" s="6">
        <f t="shared" si="11"/>
        <v>910000</v>
      </c>
      <c r="I100" s="6">
        <f t="shared" si="12"/>
        <v>885625.35258026945</v>
      </c>
      <c r="J100" s="6">
        <f t="shared" si="13"/>
        <v>848000</v>
      </c>
      <c r="K100" s="6"/>
      <c r="L100">
        <v>684000</v>
      </c>
      <c r="M100">
        <f t="shared" si="14"/>
        <v>712000</v>
      </c>
      <c r="N100">
        <f t="shared" si="15"/>
        <v>712000</v>
      </c>
      <c r="O100">
        <f t="shared" si="16"/>
        <v>684000</v>
      </c>
      <c r="P100">
        <f t="shared" si="17"/>
        <v>184028.938112</v>
      </c>
      <c r="Q100" s="30">
        <f>VLOOKUP(B100,Sheet2!$A$15:$G$380,5,FALSE)*S100/10</f>
        <v>868028.938112</v>
      </c>
      <c r="R100" s="30">
        <f>VLOOKUP(B100,Sheet2!$A$15:$G$380,7,FALSE)*S100/10</f>
        <v>869045.36544000008</v>
      </c>
      <c r="S100">
        <v>10.16427328</v>
      </c>
      <c r="T100" s="33">
        <f t="shared" si="18"/>
        <v>2.3619030792452835E-2</v>
      </c>
      <c r="U100" s="33">
        <f t="shared" si="19"/>
        <v>2.4817647924528397E-2</v>
      </c>
    </row>
    <row r="101" spans="2:21" x14ac:dyDescent="0.3">
      <c r="B101" s="5">
        <v>45839</v>
      </c>
      <c r="C101" s="6">
        <v>839000</v>
      </c>
      <c r="D101" s="6">
        <v>839000</v>
      </c>
      <c r="E101" s="6">
        <v>848000</v>
      </c>
      <c r="F101" s="6">
        <v>185116</v>
      </c>
      <c r="G101" s="6">
        <v>157403581500</v>
      </c>
      <c r="H101" s="6">
        <f t="shared" si="11"/>
        <v>912000</v>
      </c>
      <c r="I101" s="6">
        <f t="shared" si="12"/>
        <v>881324.20379354921</v>
      </c>
      <c r="J101" s="6">
        <f t="shared" si="13"/>
        <v>839000</v>
      </c>
      <c r="K101" s="6"/>
      <c r="L101">
        <v>684000</v>
      </c>
      <c r="M101">
        <f t="shared" si="14"/>
        <v>704000</v>
      </c>
      <c r="N101">
        <f t="shared" si="15"/>
        <v>704000</v>
      </c>
      <c r="O101">
        <f t="shared" si="16"/>
        <v>684000</v>
      </c>
      <c r="P101">
        <f t="shared" si="17"/>
        <v>171831.810176</v>
      </c>
      <c r="Q101" s="30">
        <f>VLOOKUP(B101,Sheet2!$A$15:$G$380,5,FALSE)*S101/10</f>
        <v>855831.810176</v>
      </c>
      <c r="R101" s="30">
        <f>VLOOKUP(B101,Sheet2!$A$15:$G$380,7,FALSE)*S101/10</f>
        <v>855831.810176</v>
      </c>
      <c r="S101">
        <v>10.16427328</v>
      </c>
      <c r="T101" s="33">
        <f t="shared" si="18"/>
        <v>2.0061752295589989E-2</v>
      </c>
      <c r="U101" s="33">
        <f t="shared" si="19"/>
        <v>2.0061752295589989E-2</v>
      </c>
    </row>
    <row r="102" spans="2:21" x14ac:dyDescent="0.3">
      <c r="B102" s="5">
        <v>45840</v>
      </c>
      <c r="C102" s="6">
        <v>819000</v>
      </c>
      <c r="D102" s="6">
        <v>819000</v>
      </c>
      <c r="E102" s="6">
        <v>839000</v>
      </c>
      <c r="F102" s="6">
        <v>326459</v>
      </c>
      <c r="G102" s="6">
        <v>263365302169</v>
      </c>
      <c r="H102" s="6">
        <f t="shared" si="11"/>
        <v>910000</v>
      </c>
      <c r="I102" s="6">
        <f t="shared" si="12"/>
        <v>872045.91864583374</v>
      </c>
      <c r="J102" s="6">
        <f t="shared" si="13"/>
        <v>819000</v>
      </c>
      <c r="K102" s="6"/>
      <c r="L102">
        <v>684000</v>
      </c>
      <c r="M102">
        <f t="shared" si="14"/>
        <v>687000</v>
      </c>
      <c r="N102">
        <f t="shared" si="15"/>
        <v>687000</v>
      </c>
      <c r="O102">
        <f t="shared" si="16"/>
        <v>684000</v>
      </c>
      <c r="P102">
        <f t="shared" si="17"/>
        <v>149470.40895999991</v>
      </c>
      <c r="Q102" s="30">
        <f>VLOOKUP(B102,Sheet2!$A$15:$G$380,5,FALSE)*S102/10</f>
        <v>833470.40895999991</v>
      </c>
      <c r="R102" s="30">
        <f>VLOOKUP(B102,Sheet2!$A$15:$G$380,7,FALSE)*S102/10</f>
        <v>834486.83628799999</v>
      </c>
      <c r="S102">
        <v>10.16427328</v>
      </c>
      <c r="T102" s="33">
        <f t="shared" si="18"/>
        <v>1.7668387008546903E-2</v>
      </c>
      <c r="U102" s="33">
        <f t="shared" si="19"/>
        <v>1.8909446017094007E-2</v>
      </c>
    </row>
    <row r="103" spans="2:21" x14ac:dyDescent="0.3">
      <c r="B103" s="5">
        <v>45841</v>
      </c>
      <c r="C103" s="6">
        <v>817000</v>
      </c>
      <c r="D103" s="6">
        <v>817000</v>
      </c>
      <c r="E103" s="6">
        <v>819000</v>
      </c>
      <c r="F103" s="6">
        <v>274396</v>
      </c>
      <c r="G103" s="6">
        <v>228695454000</v>
      </c>
      <c r="H103" s="6">
        <f t="shared" si="11"/>
        <v>909000</v>
      </c>
      <c r="I103" s="6">
        <f t="shared" si="12"/>
        <v>867787.19106044935</v>
      </c>
      <c r="J103" s="6">
        <f t="shared" si="13"/>
        <v>817000</v>
      </c>
      <c r="K103" s="6"/>
      <c r="L103">
        <v>684000</v>
      </c>
      <c r="M103">
        <f t="shared" si="14"/>
        <v>686000</v>
      </c>
      <c r="N103">
        <f t="shared" si="15"/>
        <v>686000</v>
      </c>
      <c r="O103">
        <f t="shared" si="16"/>
        <v>684000</v>
      </c>
      <c r="P103">
        <f t="shared" si="17"/>
        <v>150486.83628799999</v>
      </c>
      <c r="Q103" s="30">
        <f>VLOOKUP(B103,Sheet2!$A$15:$G$380,5,FALSE)*S103/10</f>
        <v>834486.83628799999</v>
      </c>
      <c r="R103" s="30">
        <f>VLOOKUP(B103,Sheet2!$A$15:$G$380,7,FALSE)*S103/10</f>
        <v>835503.26361600007</v>
      </c>
      <c r="S103">
        <v>10.16427328</v>
      </c>
      <c r="T103" s="33">
        <f t="shared" si="18"/>
        <v>2.1403716386780895E-2</v>
      </c>
      <c r="U103" s="33">
        <f t="shared" si="19"/>
        <v>2.2647813483476217E-2</v>
      </c>
    </row>
    <row r="104" spans="2:21" x14ac:dyDescent="0.3">
      <c r="B104" s="7">
        <v>45842</v>
      </c>
      <c r="C104" s="8">
        <v>779000</v>
      </c>
      <c r="D104" s="8">
        <v>779000</v>
      </c>
      <c r="E104" s="8">
        <v>817000</v>
      </c>
      <c r="F104" s="8">
        <v>297249</v>
      </c>
      <c r="G104" s="8">
        <v>235234702614</v>
      </c>
      <c r="H104" s="6">
        <f t="shared" si="11"/>
        <v>908000</v>
      </c>
      <c r="I104" s="6">
        <f t="shared" si="12"/>
        <v>850660.41045594297</v>
      </c>
      <c r="J104" s="6">
        <f t="shared" si="13"/>
        <v>779000</v>
      </c>
      <c r="K104" s="6"/>
      <c r="L104">
        <v>684000</v>
      </c>
      <c r="M104">
        <f t="shared" si="14"/>
        <v>654000</v>
      </c>
      <c r="N104">
        <f t="shared" si="15"/>
        <v>654000</v>
      </c>
      <c r="O104">
        <f t="shared" si="16"/>
        <v>654000</v>
      </c>
      <c r="P104">
        <f t="shared" si="17"/>
        <v>142879.0251519999</v>
      </c>
      <c r="Q104" s="30">
        <f>VLOOKUP(B104,Sheet2!$A$15:$G$380,5,FALSE)*S104/10</f>
        <v>796879.0251519999</v>
      </c>
      <c r="R104" s="30">
        <f>VLOOKUP(B104,Sheet2!$A$15:$G$380,7,FALSE)*S104/10</f>
        <v>796879.0251519999</v>
      </c>
      <c r="S104">
        <v>10.16427328</v>
      </c>
      <c r="T104" s="33">
        <f t="shared" si="18"/>
        <v>2.2951251799743132E-2</v>
      </c>
      <c r="U104" s="33">
        <f t="shared" si="19"/>
        <v>2.2951251799743132E-2</v>
      </c>
    </row>
    <row r="105" spans="2:21" x14ac:dyDescent="0.3">
      <c r="B105" s="5">
        <v>45843</v>
      </c>
      <c r="C105" s="6">
        <v>779000</v>
      </c>
      <c r="D105" s="6">
        <v>779000</v>
      </c>
      <c r="E105" s="6">
        <v>817000</v>
      </c>
      <c r="F105" s="6">
        <v>297249</v>
      </c>
      <c r="G105" s="6">
        <v>235234702614</v>
      </c>
      <c r="H105" s="6">
        <f t="shared" si="11"/>
        <v>905000</v>
      </c>
      <c r="I105" s="6">
        <f t="shared" si="12"/>
        <v>832884.7652839903</v>
      </c>
      <c r="J105" s="6">
        <f t="shared" si="13"/>
        <v>779000</v>
      </c>
      <c r="K105" s="6"/>
      <c r="L105">
        <v>684000</v>
      </c>
      <c r="M105">
        <f t="shared" si="14"/>
        <v>654000</v>
      </c>
      <c r="N105">
        <f t="shared" si="15"/>
        <v>654000</v>
      </c>
      <c r="O105">
        <f t="shared" si="16"/>
        <v>654000</v>
      </c>
      <c r="P105">
        <f t="shared" si="17"/>
        <v>142879.0251519999</v>
      </c>
      <c r="Q105" s="30">
        <f>VLOOKUP(B105,Sheet2!$A$15:$G$380,5,FALSE)*S105/10</f>
        <v>796879.0251519999</v>
      </c>
      <c r="R105" s="30">
        <f>VLOOKUP(B105,Sheet2!$A$15:$G$380,7,FALSE)*S105/10</f>
        <v>796879.0251519999</v>
      </c>
      <c r="S105">
        <v>10.16427328</v>
      </c>
      <c r="T105" s="33">
        <f t="shared" si="18"/>
        <v>2.2951251799743132E-2</v>
      </c>
      <c r="U105" s="33">
        <f t="shared" si="19"/>
        <v>2.2951251799743132E-2</v>
      </c>
    </row>
    <row r="106" spans="2:21" x14ac:dyDescent="0.3">
      <c r="B106" s="5">
        <v>45844</v>
      </c>
      <c r="C106" s="6">
        <v>779000</v>
      </c>
      <c r="D106" s="6">
        <v>779000</v>
      </c>
      <c r="E106" s="6">
        <v>817000</v>
      </c>
      <c r="F106" s="6">
        <v>297249</v>
      </c>
      <c r="G106" s="6">
        <v>235234702614</v>
      </c>
      <c r="H106" s="6">
        <f t="shared" si="11"/>
        <v>902000</v>
      </c>
      <c r="I106" s="6">
        <f t="shared" si="12"/>
        <v>814422.66926032503</v>
      </c>
      <c r="J106" s="6">
        <f t="shared" si="13"/>
        <v>779000</v>
      </c>
      <c r="K106" s="6"/>
      <c r="L106">
        <v>684000</v>
      </c>
      <c r="M106">
        <f t="shared" si="14"/>
        <v>654000</v>
      </c>
      <c r="N106">
        <f t="shared" si="15"/>
        <v>654000</v>
      </c>
      <c r="O106">
        <f t="shared" si="16"/>
        <v>654000</v>
      </c>
      <c r="P106">
        <f t="shared" si="17"/>
        <v>142879.0251519999</v>
      </c>
      <c r="Q106" s="30">
        <f>VLOOKUP(B106,Sheet2!$A$15:$G$380,5,FALSE)*S106/10</f>
        <v>796879.0251519999</v>
      </c>
      <c r="R106" s="30">
        <f>VLOOKUP(B106,Sheet2!$A$15:$G$380,7,FALSE)*S106/10</f>
        <v>796879.0251519999</v>
      </c>
      <c r="S106">
        <v>10.16427328</v>
      </c>
      <c r="T106" s="33">
        <f t="shared" si="18"/>
        <v>2.2951251799743132E-2</v>
      </c>
      <c r="U106" s="33">
        <f t="shared" si="19"/>
        <v>2.2951251799743132E-2</v>
      </c>
    </row>
    <row r="107" spans="2:21" x14ac:dyDescent="0.3">
      <c r="B107" s="5">
        <v>45845</v>
      </c>
      <c r="C107" s="6">
        <v>805000</v>
      </c>
      <c r="D107" s="6">
        <v>805000</v>
      </c>
      <c r="E107" s="6">
        <v>779000</v>
      </c>
      <c r="F107" s="6">
        <v>273998</v>
      </c>
      <c r="G107" s="6">
        <v>217081332500</v>
      </c>
      <c r="H107" s="6">
        <f t="shared" si="11"/>
        <v>900000</v>
      </c>
      <c r="I107" s="6">
        <f t="shared" si="12"/>
        <v>805573.03317234677</v>
      </c>
      <c r="J107" s="6">
        <f t="shared" si="13"/>
        <v>805000</v>
      </c>
      <c r="K107" s="6"/>
      <c r="L107">
        <v>684000</v>
      </c>
      <c r="M107">
        <f t="shared" si="14"/>
        <v>676000</v>
      </c>
      <c r="N107">
        <f t="shared" si="15"/>
        <v>676000</v>
      </c>
      <c r="O107">
        <f t="shared" si="16"/>
        <v>676000</v>
      </c>
      <c r="P107">
        <f t="shared" si="17"/>
        <v>144256.85369600006</v>
      </c>
      <c r="Q107" s="30">
        <f>VLOOKUP(B107,Sheet2!$A$15:$G$380,5,FALSE)*S107/10</f>
        <v>820256.85369600006</v>
      </c>
      <c r="R107" s="30">
        <f>VLOOKUP(B107,Sheet2!$A$15:$G$380,7,FALSE)*S107/10</f>
        <v>819240.42636799999</v>
      </c>
      <c r="S107">
        <v>10.16427328</v>
      </c>
      <c r="T107" s="33">
        <f t="shared" si="18"/>
        <v>1.8952613286956601E-2</v>
      </c>
      <c r="U107" s="33">
        <f t="shared" si="19"/>
        <v>1.7689970643478242E-2</v>
      </c>
    </row>
    <row r="108" spans="2:21" x14ac:dyDescent="0.3">
      <c r="B108" s="5">
        <v>45846</v>
      </c>
      <c r="C108" s="6">
        <v>815000</v>
      </c>
      <c r="D108" s="6">
        <v>815000</v>
      </c>
      <c r="E108" s="6">
        <v>805000</v>
      </c>
      <c r="F108" s="6">
        <v>265811</v>
      </c>
      <c r="G108" s="6">
        <v>215239289500</v>
      </c>
      <c r="H108" s="6">
        <f t="shared" si="11"/>
        <v>898000</v>
      </c>
      <c r="I108" s="6">
        <f t="shared" si="12"/>
        <v>802045.19952460402</v>
      </c>
      <c r="J108" s="6">
        <f t="shared" si="13"/>
        <v>815000</v>
      </c>
      <c r="K108" s="6"/>
      <c r="L108">
        <v>684000</v>
      </c>
      <c r="M108">
        <f t="shared" si="14"/>
        <v>684000</v>
      </c>
      <c r="N108">
        <f t="shared" si="15"/>
        <v>684000</v>
      </c>
      <c r="O108">
        <f t="shared" si="16"/>
        <v>684000</v>
      </c>
      <c r="P108">
        <f t="shared" si="17"/>
        <v>145404.69964800007</v>
      </c>
      <c r="Q108" s="30">
        <f>VLOOKUP(B108,Sheet2!$A$15:$G$380,5,FALSE)*S108/10</f>
        <v>829404.69964800007</v>
      </c>
      <c r="R108" s="30">
        <f>VLOOKUP(B108,Sheet2!$A$15:$G$380,7,FALSE)*S108/10</f>
        <v>828388.27231999999</v>
      </c>
      <c r="S108">
        <v>10.16427328</v>
      </c>
      <c r="T108" s="33">
        <f t="shared" si="18"/>
        <v>1.7674478095705604E-2</v>
      </c>
      <c r="U108" s="33">
        <f t="shared" si="19"/>
        <v>1.6427327999999988E-2</v>
      </c>
    </row>
    <row r="109" spans="2:21" x14ac:dyDescent="0.3">
      <c r="B109" s="7">
        <v>45847</v>
      </c>
      <c r="C109" s="8">
        <v>850000</v>
      </c>
      <c r="D109" s="8">
        <v>850000</v>
      </c>
      <c r="E109" s="8">
        <v>815000</v>
      </c>
      <c r="F109" s="8">
        <v>273305</v>
      </c>
      <c r="G109" s="8">
        <v>231997850000</v>
      </c>
      <c r="H109" s="6">
        <f t="shared" si="11"/>
        <v>897000</v>
      </c>
      <c r="I109" s="6">
        <f t="shared" si="12"/>
        <v>807736.45556994365</v>
      </c>
      <c r="J109" s="6">
        <f t="shared" si="13"/>
        <v>850000</v>
      </c>
      <c r="K109" s="6"/>
      <c r="L109">
        <v>684000</v>
      </c>
      <c r="M109">
        <f t="shared" si="14"/>
        <v>713000</v>
      </c>
      <c r="N109">
        <f t="shared" si="15"/>
        <v>713000</v>
      </c>
      <c r="O109">
        <f t="shared" si="16"/>
        <v>684000</v>
      </c>
      <c r="P109">
        <f t="shared" si="17"/>
        <v>178946.80147200008</v>
      </c>
      <c r="Q109" s="30">
        <f>VLOOKUP(B109,Sheet2!$A$15:$G$380,5,FALSE)*S109/10</f>
        <v>862946.80147200008</v>
      </c>
      <c r="R109" s="30">
        <f>VLOOKUP(B109,Sheet2!$A$15:$G$380,7,FALSE)*S109/10</f>
        <v>863963.22880000004</v>
      </c>
      <c r="S109">
        <v>10.16427328</v>
      </c>
      <c r="T109" s="33">
        <f t="shared" si="18"/>
        <v>1.5231531143529506E-2</v>
      </c>
      <c r="U109" s="33">
        <f t="shared" si="19"/>
        <v>1.6427328000000047E-2</v>
      </c>
    </row>
    <row r="110" spans="2:21" x14ac:dyDescent="0.3">
      <c r="B110" s="5">
        <v>45848</v>
      </c>
      <c r="C110" s="6">
        <v>853000</v>
      </c>
      <c r="D110" s="6">
        <v>853000</v>
      </c>
      <c r="E110" s="6">
        <v>850000</v>
      </c>
      <c r="F110" s="6">
        <v>298241</v>
      </c>
      <c r="G110" s="6">
        <v>253629712500</v>
      </c>
      <c r="H110" s="6">
        <f t="shared" si="11"/>
        <v>894000</v>
      </c>
      <c r="I110" s="6">
        <f t="shared" si="12"/>
        <v>810568.95372377441</v>
      </c>
      <c r="J110" s="6">
        <f t="shared" si="13"/>
        <v>853000</v>
      </c>
      <c r="K110" s="6"/>
      <c r="L110">
        <v>684000</v>
      </c>
      <c r="M110">
        <f t="shared" si="14"/>
        <v>715000</v>
      </c>
      <c r="N110">
        <f t="shared" si="15"/>
        <v>715000</v>
      </c>
      <c r="O110">
        <f t="shared" si="16"/>
        <v>684000</v>
      </c>
      <c r="P110">
        <f t="shared" si="17"/>
        <v>181996.08345599996</v>
      </c>
      <c r="Q110" s="30">
        <f>VLOOKUP(B110,Sheet2!$A$15:$G$380,5,FALSE)*S110/10</f>
        <v>865996.08345599996</v>
      </c>
      <c r="R110" s="30">
        <f>VLOOKUP(B110,Sheet2!$A$15:$G$380,7,FALSE)*S110/10</f>
        <v>863963.22880000004</v>
      </c>
      <c r="S110">
        <v>10.16427328</v>
      </c>
      <c r="T110" s="33">
        <f t="shared" si="18"/>
        <v>1.5235736759671704E-2</v>
      </c>
      <c r="U110" s="33">
        <f t="shared" si="19"/>
        <v>1.2852554279015289E-2</v>
      </c>
    </row>
    <row r="111" spans="2:21" x14ac:dyDescent="0.3">
      <c r="B111" s="5">
        <v>45849</v>
      </c>
      <c r="C111" s="6">
        <v>806000</v>
      </c>
      <c r="D111" s="6">
        <v>806000</v>
      </c>
      <c r="E111" s="6">
        <v>853000</v>
      </c>
      <c r="F111" s="6">
        <v>255773</v>
      </c>
      <c r="G111" s="6">
        <v>208884327000</v>
      </c>
      <c r="H111" s="6">
        <f t="shared" si="11"/>
        <v>892000</v>
      </c>
      <c r="I111" s="6">
        <f t="shared" si="12"/>
        <v>814274.44208427088</v>
      </c>
      <c r="J111" s="6">
        <f t="shared" si="13"/>
        <v>806000</v>
      </c>
      <c r="K111" s="6"/>
      <c r="L111">
        <v>684000</v>
      </c>
      <c r="M111">
        <f t="shared" si="14"/>
        <v>676000</v>
      </c>
      <c r="N111">
        <f t="shared" si="15"/>
        <v>676000</v>
      </c>
      <c r="O111">
        <f t="shared" si="16"/>
        <v>676000</v>
      </c>
      <c r="P111">
        <f t="shared" si="17"/>
        <v>144256.85369600006</v>
      </c>
      <c r="Q111" s="30">
        <f>VLOOKUP(B111,Sheet2!$A$15:$G$380,5,FALSE)*S111/10</f>
        <v>820256.85369600006</v>
      </c>
      <c r="R111" s="30">
        <f>VLOOKUP(B111,Sheet2!$A$15:$G$380,7,FALSE)*S111/10</f>
        <v>818223.99903999991</v>
      </c>
      <c r="S111">
        <v>10.16427328</v>
      </c>
      <c r="T111" s="33">
        <f t="shared" si="18"/>
        <v>1.7688404089330104E-2</v>
      </c>
      <c r="U111" s="33">
        <f t="shared" si="19"/>
        <v>1.5166251910669861E-2</v>
      </c>
    </row>
    <row r="112" spans="2:21" x14ac:dyDescent="0.3">
      <c r="B112" s="5">
        <v>45850</v>
      </c>
      <c r="C112" s="6">
        <v>806000</v>
      </c>
      <c r="D112" s="6">
        <v>806000</v>
      </c>
      <c r="E112" s="6">
        <v>853000</v>
      </c>
      <c r="F112" s="6">
        <v>255773</v>
      </c>
      <c r="G112" s="6">
        <v>208884327000</v>
      </c>
      <c r="H112" s="6">
        <f t="shared" si="11"/>
        <v>888000</v>
      </c>
      <c r="I112" s="6">
        <f t="shared" si="12"/>
        <v>818140.0104752233</v>
      </c>
      <c r="J112" s="6">
        <f t="shared" si="13"/>
        <v>806000</v>
      </c>
      <c r="K112" s="6"/>
      <c r="L112">
        <v>684000</v>
      </c>
      <c r="M112">
        <f t="shared" si="14"/>
        <v>676000</v>
      </c>
      <c r="N112">
        <f t="shared" si="15"/>
        <v>676000</v>
      </c>
      <c r="O112">
        <f t="shared" si="16"/>
        <v>676000</v>
      </c>
      <c r="P112">
        <f t="shared" si="17"/>
        <v>144256.85369600006</v>
      </c>
      <c r="Q112" s="30">
        <f>VLOOKUP(B112,Sheet2!$A$15:$G$380,5,FALSE)*S112/10</f>
        <v>820256.85369600006</v>
      </c>
      <c r="R112" s="30">
        <f>VLOOKUP(B112,Sheet2!$A$15:$G$380,7,FALSE)*S112/10</f>
        <v>818223.99903999991</v>
      </c>
      <c r="S112">
        <v>10.16427328</v>
      </c>
      <c r="T112" s="33">
        <f t="shared" si="18"/>
        <v>1.7688404089330104E-2</v>
      </c>
      <c r="U112" s="33">
        <f t="shared" si="19"/>
        <v>1.5166251910669861E-2</v>
      </c>
    </row>
    <row r="113" spans="2:21" x14ac:dyDescent="0.3">
      <c r="B113" s="5">
        <v>45851</v>
      </c>
      <c r="C113" s="6">
        <v>806000</v>
      </c>
      <c r="D113" s="6">
        <v>806000</v>
      </c>
      <c r="E113" s="6">
        <v>853000</v>
      </c>
      <c r="F113" s="6">
        <v>255773</v>
      </c>
      <c r="G113" s="6">
        <v>208884327000</v>
      </c>
      <c r="H113" s="6">
        <f t="shared" si="11"/>
        <v>882000</v>
      </c>
      <c r="I113" s="6">
        <f t="shared" si="12"/>
        <v>822176.26128854719</v>
      </c>
      <c r="J113" s="6">
        <f t="shared" si="13"/>
        <v>806000</v>
      </c>
      <c r="K113" s="6"/>
      <c r="L113">
        <v>684000</v>
      </c>
      <c r="M113">
        <f t="shared" si="14"/>
        <v>676000</v>
      </c>
      <c r="N113">
        <f t="shared" si="15"/>
        <v>676000</v>
      </c>
      <c r="O113">
        <f t="shared" si="16"/>
        <v>676000</v>
      </c>
      <c r="P113">
        <f t="shared" si="17"/>
        <v>144256.85369600006</v>
      </c>
      <c r="Q113" s="30">
        <f>VLOOKUP(B113,Sheet2!$A$15:$G$380,5,FALSE)*S113/10</f>
        <v>820256.85369600006</v>
      </c>
      <c r="R113" s="30">
        <f>VLOOKUP(B113,Sheet2!$A$15:$G$380,7,FALSE)*S113/10</f>
        <v>818223.99903999991</v>
      </c>
      <c r="S113">
        <v>10.16427328</v>
      </c>
      <c r="T113" s="33">
        <f t="shared" si="18"/>
        <v>1.7688404089330104E-2</v>
      </c>
      <c r="U113" s="33">
        <f t="shared" si="19"/>
        <v>1.5166251910669861E-2</v>
      </c>
    </row>
    <row r="114" spans="2:21" x14ac:dyDescent="0.3">
      <c r="B114" s="7">
        <v>45852</v>
      </c>
      <c r="C114" s="8">
        <v>807000</v>
      </c>
      <c r="D114" s="8">
        <v>807000</v>
      </c>
      <c r="E114" s="8">
        <v>806000</v>
      </c>
      <c r="F114" s="8">
        <v>183007</v>
      </c>
      <c r="G114" s="8">
        <v>146980488500</v>
      </c>
      <c r="H114" s="6">
        <f t="shared" si="11"/>
        <v>877000</v>
      </c>
      <c r="I114" s="6">
        <f t="shared" si="12"/>
        <v>824810.84258226992</v>
      </c>
      <c r="J114" s="6">
        <f t="shared" si="13"/>
        <v>807000</v>
      </c>
      <c r="K114" s="6"/>
      <c r="L114">
        <v>684000</v>
      </c>
      <c r="M114">
        <f t="shared" si="14"/>
        <v>677000</v>
      </c>
      <c r="N114">
        <f t="shared" si="15"/>
        <v>677000</v>
      </c>
      <c r="O114">
        <f t="shared" si="16"/>
        <v>677000</v>
      </c>
      <c r="P114">
        <f t="shared" si="17"/>
        <v>140207.57171200006</v>
      </c>
      <c r="Q114" s="30">
        <f>VLOOKUP(B114,Sheet2!$A$15:$G$380,5,FALSE)*S114/10</f>
        <v>817207.57171200006</v>
      </c>
      <c r="R114" s="30">
        <f>VLOOKUP(B114,Sheet2!$A$15:$G$380,7,FALSE)*S114/10</f>
        <v>818223.99903999991</v>
      </c>
      <c r="S114">
        <v>10.16427328</v>
      </c>
      <c r="T114" s="33">
        <f t="shared" si="18"/>
        <v>1.2648787747211973E-2</v>
      </c>
      <c r="U114" s="33">
        <f t="shared" si="19"/>
        <v>1.3908301164807816E-2</v>
      </c>
    </row>
    <row r="115" spans="2:21" x14ac:dyDescent="0.3">
      <c r="B115" s="5">
        <v>45853</v>
      </c>
      <c r="C115" s="6">
        <v>848000</v>
      </c>
      <c r="D115" s="6">
        <v>848000</v>
      </c>
      <c r="E115" s="6">
        <v>807000</v>
      </c>
      <c r="F115" s="6">
        <v>235902</v>
      </c>
      <c r="G115" s="6">
        <v>196276830500</v>
      </c>
      <c r="H115" s="6">
        <f t="shared" si="11"/>
        <v>871000</v>
      </c>
      <c r="I115" s="6">
        <f t="shared" si="12"/>
        <v>828057.45363169559</v>
      </c>
      <c r="J115" s="6">
        <f t="shared" si="13"/>
        <v>848000</v>
      </c>
      <c r="K115" s="6"/>
      <c r="L115">
        <v>684000</v>
      </c>
      <c r="M115">
        <f t="shared" si="14"/>
        <v>712000</v>
      </c>
      <c r="N115">
        <f t="shared" si="15"/>
        <v>712000</v>
      </c>
      <c r="O115">
        <f t="shared" si="16"/>
        <v>684000</v>
      </c>
      <c r="P115">
        <f t="shared" si="17"/>
        <v>175897.51948799996</v>
      </c>
      <c r="Q115" s="30">
        <f>VLOOKUP(B115,Sheet2!$A$15:$G$380,5,FALSE)*S115/10</f>
        <v>859897.51948799996</v>
      </c>
      <c r="R115" s="30">
        <f>VLOOKUP(B115,Sheet2!$A$15:$G$380,7,FALSE)*S115/10</f>
        <v>829404.69964800007</v>
      </c>
      <c r="S115">
        <v>10.16427328</v>
      </c>
      <c r="T115" s="33">
        <f t="shared" si="18"/>
        <v>1.4030093735849011E-2</v>
      </c>
      <c r="U115" s="33">
        <f t="shared" si="19"/>
        <v>-2.1928420226415016E-2</v>
      </c>
    </row>
    <row r="116" spans="2:21" x14ac:dyDescent="0.3">
      <c r="B116" s="5">
        <v>45854</v>
      </c>
      <c r="C116" s="6">
        <v>854000</v>
      </c>
      <c r="D116" s="6">
        <v>854000</v>
      </c>
      <c r="E116" s="6">
        <v>848000</v>
      </c>
      <c r="F116" s="6">
        <v>165528</v>
      </c>
      <c r="G116" s="6">
        <v>140108741000</v>
      </c>
      <c r="H116" s="6">
        <f t="shared" si="11"/>
        <v>867000</v>
      </c>
      <c r="I116" s="6">
        <f t="shared" si="12"/>
        <v>826455.29264598666</v>
      </c>
      <c r="J116" s="6">
        <f t="shared" si="13"/>
        <v>854000</v>
      </c>
      <c r="K116" s="6"/>
      <c r="L116">
        <v>684000</v>
      </c>
      <c r="M116">
        <f t="shared" si="14"/>
        <v>713000</v>
      </c>
      <c r="N116">
        <f t="shared" si="15"/>
        <v>713000</v>
      </c>
      <c r="O116">
        <f t="shared" si="16"/>
        <v>684000</v>
      </c>
      <c r="P116">
        <f t="shared" si="17"/>
        <v>183012.51078399993</v>
      </c>
      <c r="Q116" s="30">
        <f>VLOOKUP(B116,Sheet2!$A$15:$G$380,5,FALSE)*S116/10</f>
        <v>867012.51078399993</v>
      </c>
      <c r="R116" s="30">
        <f>VLOOKUP(B116,Sheet2!$A$15:$G$380,7,FALSE)*S116/10</f>
        <v>863963.22880000004</v>
      </c>
      <c r="S116">
        <v>10.16427328</v>
      </c>
      <c r="T116" s="33">
        <f t="shared" si="18"/>
        <v>1.5237132065573684E-2</v>
      </c>
      <c r="U116" s="33">
        <f t="shared" si="19"/>
        <v>1.1666544262295129E-2</v>
      </c>
    </row>
    <row r="117" spans="2:21" x14ac:dyDescent="0.3">
      <c r="B117" s="5">
        <v>45855</v>
      </c>
      <c r="C117" s="6">
        <v>896000</v>
      </c>
      <c r="D117" s="6">
        <v>896000</v>
      </c>
      <c r="E117" s="6">
        <v>854000</v>
      </c>
      <c r="F117" s="6">
        <v>463424</v>
      </c>
      <c r="G117" s="6">
        <v>413501490500</v>
      </c>
      <c r="H117" s="6">
        <f t="shared" si="11"/>
        <v>866000</v>
      </c>
      <c r="I117" s="6">
        <f t="shared" si="12"/>
        <v>839322.01296841085</v>
      </c>
      <c r="J117" s="6">
        <f t="shared" si="13"/>
        <v>896000</v>
      </c>
      <c r="K117" s="6"/>
      <c r="L117">
        <v>684000</v>
      </c>
      <c r="M117">
        <f t="shared" si="14"/>
        <v>728000</v>
      </c>
      <c r="N117">
        <f t="shared" si="15"/>
        <v>728000</v>
      </c>
      <c r="O117">
        <f t="shared" si="16"/>
        <v>684000</v>
      </c>
      <c r="P117">
        <f t="shared" si="17"/>
        <v>228751.74054399994</v>
      </c>
      <c r="Q117" s="30">
        <f>VLOOKUP(B117,Sheet2!$A$15:$G$380,5,FALSE)*S117/10</f>
        <v>912751.74054399994</v>
      </c>
      <c r="R117" s="30">
        <f>VLOOKUP(B117,Sheet2!$A$15:$G$380,7,FALSE)*S117/10</f>
        <v>914784.59519999998</v>
      </c>
      <c r="S117">
        <v>10.16427328</v>
      </c>
      <c r="T117" s="33">
        <f t="shared" si="18"/>
        <v>1.8696138999999935E-2</v>
      </c>
      <c r="U117" s="33">
        <f t="shared" si="19"/>
        <v>2.0964949999999979E-2</v>
      </c>
    </row>
    <row r="118" spans="2:21" x14ac:dyDescent="0.3">
      <c r="B118" s="5">
        <v>45856</v>
      </c>
      <c r="C118" s="6">
        <v>896000</v>
      </c>
      <c r="D118" s="6">
        <v>896000</v>
      </c>
      <c r="E118" s="6">
        <v>896000</v>
      </c>
      <c r="F118" s="6">
        <v>176796</v>
      </c>
      <c r="G118" s="6">
        <v>158820380000</v>
      </c>
      <c r="H118" s="6">
        <f t="shared" si="11"/>
        <v>864000</v>
      </c>
      <c r="I118" s="6">
        <f t="shared" si="12"/>
        <v>848666.07447401027</v>
      </c>
      <c r="J118" s="6">
        <f t="shared" si="13"/>
        <v>896000</v>
      </c>
      <c r="K118" s="6"/>
      <c r="L118">
        <v>684000</v>
      </c>
      <c r="M118">
        <f t="shared" si="14"/>
        <v>730000</v>
      </c>
      <c r="N118">
        <f t="shared" si="15"/>
        <v>730000</v>
      </c>
      <c r="O118">
        <f t="shared" si="16"/>
        <v>684000</v>
      </c>
      <c r="P118">
        <f t="shared" si="17"/>
        <v>230784.59519999998</v>
      </c>
      <c r="Q118" s="30">
        <f>VLOOKUP(B118,Sheet2!$A$15:$G$380,5,FALSE)*S118/10</f>
        <v>914784.59519999998</v>
      </c>
      <c r="R118" s="30">
        <f>VLOOKUP(B118,Sheet2!$A$15:$G$380,7,FALSE)*S118/10</f>
        <v>914784.59519999998</v>
      </c>
      <c r="S118">
        <v>10.16427328</v>
      </c>
      <c r="T118" s="33">
        <f t="shared" si="18"/>
        <v>2.0964949999999979E-2</v>
      </c>
      <c r="U118" s="33">
        <f t="shared" si="19"/>
        <v>2.0964949999999979E-2</v>
      </c>
    </row>
    <row r="119" spans="2:21" x14ac:dyDescent="0.3">
      <c r="B119" s="7">
        <v>45857</v>
      </c>
      <c r="C119" s="8">
        <v>896000</v>
      </c>
      <c r="D119" s="8">
        <v>896000</v>
      </c>
      <c r="E119" s="8">
        <v>896000</v>
      </c>
      <c r="F119" s="8">
        <v>176796</v>
      </c>
      <c r="G119" s="8">
        <v>158820380000</v>
      </c>
      <c r="H119" s="6">
        <f t="shared" si="11"/>
        <v>863000</v>
      </c>
      <c r="I119" s="6">
        <f t="shared" si="12"/>
        <v>858900.73985081096</v>
      </c>
      <c r="J119" s="6">
        <f t="shared" si="13"/>
        <v>896000</v>
      </c>
      <c r="K119" s="6"/>
      <c r="L119">
        <v>684000</v>
      </c>
      <c r="M119">
        <f t="shared" si="14"/>
        <v>732000</v>
      </c>
      <c r="N119">
        <f t="shared" si="15"/>
        <v>732000</v>
      </c>
      <c r="O119">
        <f t="shared" si="16"/>
        <v>684000</v>
      </c>
      <c r="P119">
        <f t="shared" si="17"/>
        <v>-684000</v>
      </c>
      <c r="Q119" s="30">
        <f>VLOOKUP(B119,Sheet2!$A$15:$G$380,5,FALSE)*S119/10</f>
        <v>0</v>
      </c>
      <c r="R119" s="30">
        <f>VLOOKUP(B119,Sheet2!$A$15:$G$380,7,FALSE)*S119/10</f>
        <v>0</v>
      </c>
      <c r="T119" s="33">
        <f t="shared" si="18"/>
        <v>-1</v>
      </c>
      <c r="U119" s="33">
        <f t="shared" si="19"/>
        <v>-1</v>
      </c>
    </row>
    <row r="120" spans="2:21" x14ac:dyDescent="0.3">
      <c r="B120" s="5">
        <v>45858</v>
      </c>
      <c r="C120" s="6">
        <v>896000</v>
      </c>
      <c r="D120" s="6">
        <v>896000</v>
      </c>
      <c r="E120" s="6">
        <v>896000</v>
      </c>
      <c r="F120" s="6">
        <v>176796</v>
      </c>
      <c r="G120" s="6">
        <v>158820380000</v>
      </c>
      <c r="H120" s="6">
        <f t="shared" si="11"/>
        <v>860000</v>
      </c>
      <c r="I120" s="6">
        <f t="shared" si="12"/>
        <v>870159.70895593788</v>
      </c>
      <c r="J120" s="6">
        <f t="shared" si="13"/>
        <v>896000</v>
      </c>
      <c r="K120" s="6"/>
      <c r="L120">
        <v>684000</v>
      </c>
      <c r="M120">
        <f t="shared" si="14"/>
        <v>735000</v>
      </c>
      <c r="N120">
        <f t="shared" si="15"/>
        <v>735000</v>
      </c>
      <c r="O120">
        <f t="shared" si="16"/>
        <v>684000</v>
      </c>
      <c r="P120">
        <f t="shared" si="17"/>
        <v>-684000</v>
      </c>
      <c r="Q120" s="30">
        <f>VLOOKUP(B120,Sheet2!$A$15:$G$380,5,FALSE)*S120/10</f>
        <v>0</v>
      </c>
      <c r="R120" s="30">
        <f>VLOOKUP(B120,Sheet2!$A$15:$G$380,7,FALSE)*S120/10</f>
        <v>0</v>
      </c>
      <c r="T120" s="33">
        <f t="shared" si="18"/>
        <v>-1</v>
      </c>
      <c r="U120" s="33">
        <f t="shared" si="19"/>
        <v>-1</v>
      </c>
    </row>
    <row r="121" spans="2:21" x14ac:dyDescent="0.3">
      <c r="B121" s="5">
        <v>45859</v>
      </c>
      <c r="C121" s="6">
        <v>919000</v>
      </c>
      <c r="D121" s="6">
        <v>919000</v>
      </c>
      <c r="E121" s="6">
        <v>896000</v>
      </c>
      <c r="F121" s="6">
        <v>224163</v>
      </c>
      <c r="G121" s="6">
        <v>204812315000</v>
      </c>
      <c r="H121" s="6">
        <f t="shared" si="11"/>
        <v>858000</v>
      </c>
      <c r="I121" s="6">
        <f t="shared" si="12"/>
        <v>883757.00766639598</v>
      </c>
      <c r="J121" s="6">
        <f t="shared" si="13"/>
        <v>919000</v>
      </c>
      <c r="K121" s="6"/>
      <c r="L121">
        <v>684000</v>
      </c>
      <c r="M121">
        <f t="shared" si="14"/>
        <v>744000</v>
      </c>
      <c r="N121">
        <f t="shared" si="15"/>
        <v>744000</v>
      </c>
      <c r="O121">
        <f t="shared" si="16"/>
        <v>684000</v>
      </c>
      <c r="P121">
        <f t="shared" si="17"/>
        <v>-684000</v>
      </c>
      <c r="Q121" s="30">
        <f>VLOOKUP(B121,Sheet2!$A$15:$G$380,5,FALSE)*S121/10</f>
        <v>0</v>
      </c>
      <c r="R121" s="30">
        <f>VLOOKUP(B121,Sheet2!$A$15:$G$380,7,FALSE)*S121/10</f>
        <v>0</v>
      </c>
      <c r="T121" s="33">
        <f t="shared" si="18"/>
        <v>-1</v>
      </c>
      <c r="U121" s="33">
        <f t="shared" si="19"/>
        <v>-1</v>
      </c>
    </row>
    <row r="122" spans="2:21" x14ac:dyDescent="0.3">
      <c r="B122" s="5">
        <v>45860</v>
      </c>
      <c r="C122" s="6">
        <v>922000</v>
      </c>
      <c r="D122" s="6">
        <v>922000</v>
      </c>
      <c r="E122" s="6">
        <v>919000</v>
      </c>
      <c r="F122" s="6">
        <v>207213</v>
      </c>
      <c r="G122" s="6">
        <v>189854870218</v>
      </c>
      <c r="H122" s="6">
        <f t="shared" si="11"/>
        <v>855000</v>
      </c>
      <c r="I122" s="6">
        <f t="shared" si="12"/>
        <v>895658.65730777837</v>
      </c>
      <c r="J122" s="6">
        <f t="shared" si="13"/>
        <v>922000</v>
      </c>
      <c r="K122" s="6"/>
      <c r="L122">
        <v>684000</v>
      </c>
      <c r="M122">
        <f t="shared" si="14"/>
        <v>748000</v>
      </c>
      <c r="N122">
        <f t="shared" si="15"/>
        <v>748000</v>
      </c>
      <c r="O122">
        <f t="shared" si="16"/>
        <v>684000</v>
      </c>
      <c r="P122">
        <f t="shared" si="17"/>
        <v>-684000</v>
      </c>
      <c r="Q122" s="30">
        <f>VLOOKUP(B122,Sheet2!$A$15:$G$380,5,FALSE)*S122/10</f>
        <v>0</v>
      </c>
      <c r="R122" s="30">
        <f>VLOOKUP(B122,Sheet2!$A$15:$G$380,7,FALSE)*S122/10</f>
        <v>0</v>
      </c>
      <c r="T122" s="33">
        <f t="shared" si="18"/>
        <v>-1</v>
      </c>
      <c r="U122" s="33">
        <f t="shared" si="19"/>
        <v>-1</v>
      </c>
    </row>
    <row r="123" spans="2:21" x14ac:dyDescent="0.3">
      <c r="B123" s="5">
        <v>45861</v>
      </c>
      <c r="C123" s="6">
        <v>910000</v>
      </c>
      <c r="D123" s="6">
        <v>910000</v>
      </c>
      <c r="E123" s="6">
        <v>922000</v>
      </c>
      <c r="F123" s="6">
        <v>213391</v>
      </c>
      <c r="G123" s="6">
        <v>194057539000</v>
      </c>
      <c r="H123" s="6">
        <f t="shared" si="11"/>
        <v>854000</v>
      </c>
      <c r="I123" s="6">
        <f t="shared" si="12"/>
        <v>902420.54531273746</v>
      </c>
      <c r="J123" s="6">
        <f t="shared" si="13"/>
        <v>910000</v>
      </c>
      <c r="K123" s="6"/>
      <c r="L123">
        <v>684000</v>
      </c>
      <c r="M123">
        <f t="shared" si="14"/>
        <v>746000</v>
      </c>
      <c r="N123">
        <f t="shared" si="15"/>
        <v>746000</v>
      </c>
      <c r="O123">
        <f t="shared" si="16"/>
        <v>684000</v>
      </c>
      <c r="P123">
        <f t="shared" si="17"/>
        <v>-684000</v>
      </c>
      <c r="Q123" s="30">
        <f>VLOOKUP(B123,Sheet2!$A$15:$G$380,5,FALSE)*S123/10</f>
        <v>0</v>
      </c>
      <c r="R123" s="30">
        <f>VLOOKUP(B123,Sheet2!$A$15:$G$380,7,FALSE)*S123/10</f>
        <v>0</v>
      </c>
      <c r="T123" s="33">
        <f t="shared" si="18"/>
        <v>-1</v>
      </c>
      <c r="U123" s="33">
        <f t="shared" si="19"/>
        <v>-1</v>
      </c>
    </row>
    <row r="124" spans="2:21" x14ac:dyDescent="0.3">
      <c r="B124" s="7">
        <v>45862</v>
      </c>
      <c r="C124" s="8">
        <v>941000</v>
      </c>
      <c r="D124" s="8">
        <v>941000</v>
      </c>
      <c r="E124" s="8">
        <v>910000</v>
      </c>
      <c r="F124" s="8">
        <v>263357</v>
      </c>
      <c r="G124" s="8">
        <v>246524695000</v>
      </c>
      <c r="H124" s="6">
        <f t="shared" ref="H124:H187" si="20">CEILING(SUM(G95:G124)/SUM(F95:F124),1000)</f>
        <v>855000</v>
      </c>
      <c r="I124" s="6">
        <f t="shared" ref="I124:I187" si="21">SUM(G118:G124)/SUM(F118:F124)</f>
        <v>911852.35800466035</v>
      </c>
      <c r="J124" s="6">
        <f t="shared" si="13"/>
        <v>941000</v>
      </c>
      <c r="K124" s="6"/>
      <c r="L124">
        <v>684000</v>
      </c>
      <c r="M124">
        <f t="shared" si="14"/>
        <v>758000</v>
      </c>
      <c r="N124">
        <f t="shared" si="15"/>
        <v>758000</v>
      </c>
      <c r="O124">
        <f t="shared" si="16"/>
        <v>684000</v>
      </c>
      <c r="P124">
        <f t="shared" si="17"/>
        <v>-684000</v>
      </c>
      <c r="Q124" s="30">
        <f>VLOOKUP(B124,Sheet2!$A$15:$G$380,5,FALSE)*S124/10</f>
        <v>0</v>
      </c>
      <c r="R124" s="30">
        <f>VLOOKUP(B124,Sheet2!$A$15:$G$380,7,FALSE)*S124/10</f>
        <v>0</v>
      </c>
      <c r="T124" s="33">
        <f t="shared" si="18"/>
        <v>-1</v>
      </c>
      <c r="U124" s="33">
        <f t="shared" si="19"/>
        <v>-1</v>
      </c>
    </row>
    <row r="125" spans="2:21" x14ac:dyDescent="0.3">
      <c r="B125" s="5">
        <v>45863</v>
      </c>
      <c r="C125" s="6">
        <v>945000</v>
      </c>
      <c r="D125" s="6">
        <v>945000</v>
      </c>
      <c r="E125" s="6">
        <v>941000</v>
      </c>
      <c r="F125" s="6">
        <v>126974</v>
      </c>
      <c r="G125" s="6">
        <v>120040159500</v>
      </c>
      <c r="H125" s="6">
        <f t="shared" si="20"/>
        <v>856000</v>
      </c>
      <c r="I125" s="6">
        <f t="shared" si="21"/>
        <v>916641.10688346566</v>
      </c>
      <c r="J125" s="6">
        <f t="shared" si="13"/>
        <v>945000</v>
      </c>
      <c r="K125" s="6"/>
      <c r="L125">
        <v>684000</v>
      </c>
      <c r="M125">
        <f t="shared" si="14"/>
        <v>760000</v>
      </c>
      <c r="N125">
        <f t="shared" si="15"/>
        <v>760000</v>
      </c>
      <c r="O125">
        <f t="shared" si="16"/>
        <v>684000</v>
      </c>
      <c r="P125">
        <f t="shared" si="17"/>
        <v>-684000</v>
      </c>
      <c r="Q125" s="30">
        <f>VLOOKUP(B125,Sheet2!$A$15:$G$380,5,FALSE)*S125/10</f>
        <v>0</v>
      </c>
      <c r="R125" s="30">
        <f>VLOOKUP(B125,Sheet2!$A$15:$G$380,7,FALSE)*S125/10</f>
        <v>0</v>
      </c>
      <c r="T125" s="33">
        <f t="shared" si="18"/>
        <v>-1</v>
      </c>
      <c r="U125" s="33">
        <f t="shared" si="19"/>
        <v>-1</v>
      </c>
    </row>
    <row r="126" spans="2:21" x14ac:dyDescent="0.3">
      <c r="B126" s="5">
        <v>45864</v>
      </c>
      <c r="C126" s="6">
        <v>945000</v>
      </c>
      <c r="D126" s="6">
        <v>945000</v>
      </c>
      <c r="E126" s="6">
        <v>941000</v>
      </c>
      <c r="F126" s="6">
        <v>126974</v>
      </c>
      <c r="G126" s="6">
        <v>120040159500</v>
      </c>
      <c r="H126" s="6">
        <f t="shared" si="20"/>
        <v>857000</v>
      </c>
      <c r="I126" s="6">
        <f t="shared" si="21"/>
        <v>921786.25392346375</v>
      </c>
      <c r="J126" s="6">
        <f t="shared" si="13"/>
        <v>945000</v>
      </c>
      <c r="K126" s="6"/>
      <c r="L126">
        <v>684000</v>
      </c>
      <c r="M126">
        <f t="shared" si="14"/>
        <v>762000</v>
      </c>
      <c r="N126">
        <f t="shared" si="15"/>
        <v>762000</v>
      </c>
      <c r="O126">
        <f t="shared" si="16"/>
        <v>684000</v>
      </c>
      <c r="P126">
        <f t="shared" si="17"/>
        <v>-684000</v>
      </c>
      <c r="Q126" s="30">
        <f>VLOOKUP(B126,Sheet2!$A$15:$G$380,5,FALSE)*S126/10</f>
        <v>0</v>
      </c>
      <c r="R126" s="30">
        <f>VLOOKUP(B126,Sheet2!$A$15:$G$380,7,FALSE)*S126/10</f>
        <v>0</v>
      </c>
      <c r="T126" s="33">
        <f t="shared" si="18"/>
        <v>-1</v>
      </c>
      <c r="U126" s="33">
        <f t="shared" si="19"/>
        <v>-1</v>
      </c>
    </row>
    <row r="127" spans="2:21" x14ac:dyDescent="0.3">
      <c r="B127" s="5">
        <v>45865</v>
      </c>
      <c r="C127" s="6">
        <v>945000</v>
      </c>
      <c r="D127" s="6">
        <v>945000</v>
      </c>
      <c r="E127" s="6">
        <v>941000</v>
      </c>
      <c r="F127" s="6">
        <v>126974</v>
      </c>
      <c r="G127" s="6">
        <v>120040159500</v>
      </c>
      <c r="H127" s="6">
        <f t="shared" si="20"/>
        <v>857000</v>
      </c>
      <c r="I127" s="6">
        <f t="shared" si="21"/>
        <v>927329.12380008167</v>
      </c>
      <c r="J127" s="6">
        <f t="shared" si="13"/>
        <v>945000</v>
      </c>
      <c r="K127" s="6"/>
      <c r="L127">
        <v>684000</v>
      </c>
      <c r="M127">
        <f t="shared" si="14"/>
        <v>764000</v>
      </c>
      <c r="N127">
        <f t="shared" si="15"/>
        <v>764000</v>
      </c>
      <c r="O127">
        <f t="shared" si="16"/>
        <v>684000</v>
      </c>
      <c r="P127">
        <f t="shared" si="17"/>
        <v>-684000</v>
      </c>
      <c r="Q127" s="30">
        <f>VLOOKUP(B127,Sheet2!$A$15:$G$380,5,FALSE)*S127/10</f>
        <v>0</v>
      </c>
      <c r="R127" s="30">
        <f>VLOOKUP(B127,Sheet2!$A$15:$G$380,7,FALSE)*S127/10</f>
        <v>0</v>
      </c>
      <c r="T127" s="33">
        <f t="shared" si="18"/>
        <v>-1</v>
      </c>
      <c r="U127" s="33">
        <f t="shared" si="19"/>
        <v>-1</v>
      </c>
    </row>
    <row r="128" spans="2:21" x14ac:dyDescent="0.3">
      <c r="B128" s="5">
        <v>45866</v>
      </c>
      <c r="C128" s="6">
        <v>953000</v>
      </c>
      <c r="D128" s="6">
        <v>953000</v>
      </c>
      <c r="E128" s="6">
        <v>945000</v>
      </c>
      <c r="F128" s="6">
        <v>122549</v>
      </c>
      <c r="G128" s="6">
        <v>116216939000</v>
      </c>
      <c r="H128" s="6">
        <f t="shared" si="20"/>
        <v>856000</v>
      </c>
      <c r="I128" s="6">
        <f t="shared" si="21"/>
        <v>932074.02336975932</v>
      </c>
      <c r="J128" s="6">
        <f t="shared" si="13"/>
        <v>953000</v>
      </c>
      <c r="K128" s="6"/>
      <c r="L128">
        <v>684000</v>
      </c>
      <c r="M128">
        <f t="shared" si="14"/>
        <v>767000</v>
      </c>
      <c r="N128">
        <f t="shared" si="15"/>
        <v>767000</v>
      </c>
      <c r="O128">
        <f t="shared" si="16"/>
        <v>684000</v>
      </c>
      <c r="P128">
        <f t="shared" si="17"/>
        <v>-684000</v>
      </c>
      <c r="Q128" s="30">
        <f>VLOOKUP(B128,Sheet2!$A$15:$G$380,5,FALSE)*S128/10</f>
        <v>0</v>
      </c>
      <c r="R128" s="30">
        <f>VLOOKUP(B128,Sheet2!$A$15:$G$380,7,FALSE)*S128/10</f>
        <v>0</v>
      </c>
      <c r="T128" s="33">
        <f t="shared" si="18"/>
        <v>-1</v>
      </c>
      <c r="U128" s="33">
        <f t="shared" si="19"/>
        <v>-1</v>
      </c>
    </row>
    <row r="129" spans="2:21" x14ac:dyDescent="0.3">
      <c r="B129" s="7">
        <v>45867</v>
      </c>
      <c r="C129" s="8">
        <v>998000</v>
      </c>
      <c r="D129" s="8">
        <v>998000</v>
      </c>
      <c r="E129" s="8">
        <v>953000</v>
      </c>
      <c r="F129" s="8">
        <v>324999</v>
      </c>
      <c r="G129" s="8">
        <v>320470934586</v>
      </c>
      <c r="H129" s="6">
        <f t="shared" si="20"/>
        <v>860000</v>
      </c>
      <c r="I129" s="6">
        <f t="shared" si="21"/>
        <v>948033.65114946314</v>
      </c>
      <c r="J129" s="6">
        <f t="shared" si="13"/>
        <v>998000</v>
      </c>
      <c r="K129" s="6"/>
      <c r="L129">
        <v>684000</v>
      </c>
      <c r="M129">
        <f t="shared" si="14"/>
        <v>785000</v>
      </c>
      <c r="N129">
        <f t="shared" si="15"/>
        <v>785000</v>
      </c>
      <c r="O129">
        <f t="shared" si="16"/>
        <v>684000</v>
      </c>
      <c r="P129">
        <f t="shared" si="17"/>
        <v>-684000</v>
      </c>
      <c r="Q129" s="30">
        <f>VLOOKUP(B129,Sheet2!$A$15:$G$380,5,FALSE)*S129/10</f>
        <v>0</v>
      </c>
      <c r="R129" s="30">
        <f>VLOOKUP(B129,Sheet2!$A$15:$G$380,7,FALSE)*S129/10</f>
        <v>0</v>
      </c>
      <c r="T129" s="33">
        <f t="shared" si="18"/>
        <v>-1</v>
      </c>
      <c r="U129" s="33">
        <f t="shared" si="19"/>
        <v>-1</v>
      </c>
    </row>
    <row r="130" spans="2:21" x14ac:dyDescent="0.3">
      <c r="B130" s="5">
        <v>45868</v>
      </c>
      <c r="C130" s="6">
        <v>977000</v>
      </c>
      <c r="D130" s="6">
        <v>977000</v>
      </c>
      <c r="E130" s="6">
        <v>998000</v>
      </c>
      <c r="F130" s="6">
        <v>292494</v>
      </c>
      <c r="G130" s="6">
        <v>285939517621</v>
      </c>
      <c r="H130" s="6">
        <f t="shared" si="20"/>
        <v>865000</v>
      </c>
      <c r="I130" s="6">
        <f t="shared" si="21"/>
        <v>960234.34211212571</v>
      </c>
      <c r="J130" s="6">
        <f t="shared" si="13"/>
        <v>977000</v>
      </c>
      <c r="K130" s="6"/>
      <c r="L130">
        <v>684000</v>
      </c>
      <c r="M130">
        <f t="shared" si="14"/>
        <v>784000</v>
      </c>
      <c r="N130">
        <f t="shared" si="15"/>
        <v>784000</v>
      </c>
      <c r="O130">
        <f t="shared" si="16"/>
        <v>684000</v>
      </c>
      <c r="P130">
        <f t="shared" si="17"/>
        <v>-684000</v>
      </c>
      <c r="Q130" s="30">
        <f>VLOOKUP(B130,Sheet2!$A$15:$G$380,5,FALSE)*S130/10</f>
        <v>0</v>
      </c>
      <c r="R130" s="30">
        <f>VLOOKUP(B130,Sheet2!$A$15:$G$380,7,FALSE)*S130/10</f>
        <v>0</v>
      </c>
      <c r="T130" s="33">
        <f t="shared" si="18"/>
        <v>-1</v>
      </c>
      <c r="U130" s="33">
        <f t="shared" si="19"/>
        <v>-1</v>
      </c>
    </row>
    <row r="131" spans="2:21" x14ac:dyDescent="0.3">
      <c r="B131" s="5">
        <v>45869</v>
      </c>
      <c r="C131" s="6">
        <v>996000</v>
      </c>
      <c r="D131" s="6">
        <v>996000</v>
      </c>
      <c r="E131" s="6">
        <v>977000</v>
      </c>
      <c r="F131" s="6">
        <v>602496</v>
      </c>
      <c r="G131" s="6">
        <v>599453452099</v>
      </c>
      <c r="H131" s="6">
        <f t="shared" si="20"/>
        <v>875000</v>
      </c>
      <c r="I131" s="6">
        <f t="shared" si="21"/>
        <v>976060.55365717795</v>
      </c>
      <c r="J131" s="6">
        <f t="shared" si="13"/>
        <v>996000</v>
      </c>
      <c r="K131" s="6"/>
      <c r="L131">
        <v>684000</v>
      </c>
      <c r="M131">
        <f t="shared" si="14"/>
        <v>796000</v>
      </c>
      <c r="N131">
        <f t="shared" si="15"/>
        <v>796000</v>
      </c>
      <c r="O131">
        <f t="shared" si="16"/>
        <v>684000</v>
      </c>
      <c r="P131">
        <f t="shared" si="17"/>
        <v>-684000</v>
      </c>
      <c r="Q131" s="30">
        <f>VLOOKUP(B131,Sheet2!$A$15:$G$380,5,FALSE)*S131/10</f>
        <v>0</v>
      </c>
      <c r="R131" s="30">
        <f>VLOOKUP(B131,Sheet2!$A$15:$G$380,7,FALSE)*S131/10</f>
        <v>0</v>
      </c>
      <c r="T131" s="33">
        <f t="shared" si="18"/>
        <v>-1</v>
      </c>
      <c r="U131" s="33">
        <f t="shared" si="19"/>
        <v>-1</v>
      </c>
    </row>
    <row r="132" spans="2:21" x14ac:dyDescent="0.3">
      <c r="B132" s="5">
        <v>45870</v>
      </c>
      <c r="C132" s="6">
        <v>939000</v>
      </c>
      <c r="D132" s="6">
        <v>939000</v>
      </c>
      <c r="E132" s="6">
        <v>996000</v>
      </c>
      <c r="F132" s="6">
        <v>419450</v>
      </c>
      <c r="G132" s="6">
        <v>392926850000</v>
      </c>
      <c r="H132" s="6">
        <f t="shared" si="20"/>
        <v>882000</v>
      </c>
      <c r="I132" s="6">
        <f t="shared" si="21"/>
        <v>969816.50821553858</v>
      </c>
      <c r="J132" s="6">
        <f t="shared" si="13"/>
        <v>939000</v>
      </c>
      <c r="K132" s="6"/>
      <c r="L132">
        <v>684000</v>
      </c>
      <c r="M132">
        <f t="shared" si="14"/>
        <v>781000</v>
      </c>
      <c r="N132">
        <f t="shared" si="15"/>
        <v>781000</v>
      </c>
      <c r="O132">
        <f t="shared" si="16"/>
        <v>684000</v>
      </c>
      <c r="P132">
        <f t="shared" si="17"/>
        <v>-684000</v>
      </c>
      <c r="Q132" s="30">
        <f>VLOOKUP(B132,Sheet2!$A$15:$G$380,5,FALSE)*S132/10</f>
        <v>0</v>
      </c>
      <c r="R132" s="30">
        <f>VLOOKUP(B132,Sheet2!$A$15:$G$380,7,FALSE)*S132/10</f>
        <v>0</v>
      </c>
      <c r="T132" s="33">
        <f t="shared" si="18"/>
        <v>-1</v>
      </c>
      <c r="U132" s="33">
        <f t="shared" si="19"/>
        <v>-1</v>
      </c>
    </row>
    <row r="133" spans="2:21" x14ac:dyDescent="0.3">
      <c r="B133" s="5">
        <v>45871</v>
      </c>
      <c r="C133" s="6">
        <v>939000</v>
      </c>
      <c r="D133" s="6">
        <v>939000</v>
      </c>
      <c r="E133" s="6">
        <v>996000</v>
      </c>
      <c r="F133" s="6">
        <v>419450</v>
      </c>
      <c r="G133" s="6">
        <v>392926850000</v>
      </c>
      <c r="H133" s="6">
        <f t="shared" si="20"/>
        <v>886000</v>
      </c>
      <c r="I133" s="6">
        <f t="shared" si="21"/>
        <v>965154.70496861043</v>
      </c>
      <c r="J133" s="6">
        <f t="shared" si="13"/>
        <v>939000</v>
      </c>
      <c r="K133" s="6"/>
      <c r="L133">
        <v>684000</v>
      </c>
      <c r="M133">
        <f t="shared" si="14"/>
        <v>781000</v>
      </c>
      <c r="N133">
        <f t="shared" si="15"/>
        <v>781000</v>
      </c>
      <c r="O133">
        <f t="shared" si="16"/>
        <v>684000</v>
      </c>
      <c r="P133">
        <f t="shared" si="17"/>
        <v>-684000</v>
      </c>
      <c r="Q133" s="30">
        <f>VLOOKUP(B133,Sheet2!$A$15:$G$380,5,FALSE)*S133/10</f>
        <v>0</v>
      </c>
      <c r="R133" s="30">
        <f>VLOOKUP(B133,Sheet2!$A$15:$G$380,7,FALSE)*S133/10</f>
        <v>0</v>
      </c>
      <c r="T133" s="33">
        <f t="shared" si="18"/>
        <v>-1</v>
      </c>
      <c r="U133" s="33">
        <f t="shared" si="19"/>
        <v>-1</v>
      </c>
    </row>
    <row r="134" spans="2:21" x14ac:dyDescent="0.3">
      <c r="B134" s="7">
        <v>45872</v>
      </c>
      <c r="C134" s="8">
        <v>939000</v>
      </c>
      <c r="D134" s="8">
        <v>939000</v>
      </c>
      <c r="E134" s="8">
        <v>996000</v>
      </c>
      <c r="F134" s="8">
        <v>419450</v>
      </c>
      <c r="G134" s="8">
        <v>392926850000</v>
      </c>
      <c r="H134" s="6">
        <f t="shared" si="20"/>
        <v>893000</v>
      </c>
      <c r="I134" s="6">
        <f t="shared" si="21"/>
        <v>961541.36329822743</v>
      </c>
      <c r="J134" s="6">
        <f t="shared" si="13"/>
        <v>939000</v>
      </c>
      <c r="K134" s="6"/>
      <c r="L134">
        <v>684000</v>
      </c>
      <c r="M134">
        <f t="shared" si="14"/>
        <v>781000</v>
      </c>
      <c r="N134">
        <f t="shared" si="15"/>
        <v>781000</v>
      </c>
      <c r="O134">
        <f t="shared" si="16"/>
        <v>684000</v>
      </c>
      <c r="P134">
        <f t="shared" si="17"/>
        <v>-684000</v>
      </c>
      <c r="Q134" s="30">
        <f>VLOOKUP(B134,Sheet2!$A$15:$G$380,5,FALSE)*S134/10</f>
        <v>0</v>
      </c>
      <c r="R134" s="30">
        <f>VLOOKUP(B134,Sheet2!$A$15:$G$380,7,FALSE)*S134/10</f>
        <v>0</v>
      </c>
      <c r="T134" s="33">
        <f t="shared" si="18"/>
        <v>-1</v>
      </c>
      <c r="U134" s="33">
        <f t="shared" si="19"/>
        <v>-1</v>
      </c>
    </row>
    <row r="135" spans="2:21" x14ac:dyDescent="0.3">
      <c r="B135" s="5">
        <v>45873</v>
      </c>
      <c r="C135" s="6">
        <v>938000</v>
      </c>
      <c r="D135" s="6">
        <v>938000</v>
      </c>
      <c r="E135" s="6">
        <v>939000</v>
      </c>
      <c r="F135" s="6">
        <v>118975</v>
      </c>
      <c r="G135" s="6">
        <v>111188647000</v>
      </c>
      <c r="H135" s="6">
        <f t="shared" si="20"/>
        <v>897000</v>
      </c>
      <c r="I135" s="6">
        <f t="shared" si="21"/>
        <v>960928.52127467073</v>
      </c>
      <c r="J135" s="6">
        <f t="shared" si="13"/>
        <v>938000</v>
      </c>
      <c r="K135" s="6"/>
      <c r="L135">
        <v>684000</v>
      </c>
      <c r="M135">
        <f t="shared" si="14"/>
        <v>782000</v>
      </c>
      <c r="N135">
        <f t="shared" si="15"/>
        <v>782000</v>
      </c>
      <c r="O135">
        <f t="shared" si="16"/>
        <v>684000</v>
      </c>
      <c r="P135">
        <f t="shared" si="17"/>
        <v>-684000</v>
      </c>
      <c r="Q135" s="30">
        <f>VLOOKUP(B135,Sheet2!$A$15:$G$380,5,FALSE)*S135/10</f>
        <v>0</v>
      </c>
      <c r="R135" s="30">
        <f>VLOOKUP(B135,Sheet2!$A$15:$G$380,7,FALSE)*S135/10</f>
        <v>0</v>
      </c>
      <c r="T135" s="33">
        <f t="shared" si="18"/>
        <v>-1</v>
      </c>
      <c r="U135" s="33">
        <f t="shared" si="19"/>
        <v>-1</v>
      </c>
    </row>
    <row r="136" spans="2:21" x14ac:dyDescent="0.3">
      <c r="B136" s="5">
        <v>45874</v>
      </c>
      <c r="C136" s="6">
        <v>961000</v>
      </c>
      <c r="D136" s="6">
        <v>961000</v>
      </c>
      <c r="E136" s="6">
        <v>938000</v>
      </c>
      <c r="F136" s="6">
        <v>187035</v>
      </c>
      <c r="G136" s="6">
        <v>178178503000</v>
      </c>
      <c r="H136" s="6">
        <f t="shared" si="20"/>
        <v>903000</v>
      </c>
      <c r="I136" s="6">
        <f t="shared" si="21"/>
        <v>956976.70917925471</v>
      </c>
      <c r="J136" s="6">
        <f t="shared" si="13"/>
        <v>961000</v>
      </c>
      <c r="K136" s="6"/>
      <c r="L136">
        <v>684000</v>
      </c>
      <c r="M136">
        <f t="shared" si="14"/>
        <v>789000</v>
      </c>
      <c r="N136">
        <f t="shared" si="15"/>
        <v>789000</v>
      </c>
      <c r="O136">
        <f t="shared" si="16"/>
        <v>684000</v>
      </c>
      <c r="P136">
        <f t="shared" si="17"/>
        <v>-684000</v>
      </c>
      <c r="Q136" s="30">
        <f>VLOOKUP(B136,Sheet2!$A$15:$G$380,5,FALSE)*S136/10</f>
        <v>0</v>
      </c>
      <c r="R136" s="30">
        <f>VLOOKUP(B136,Sheet2!$A$15:$G$380,7,FALSE)*S136/10</f>
        <v>0</v>
      </c>
      <c r="T136" s="33">
        <f t="shared" si="18"/>
        <v>-1</v>
      </c>
      <c r="U136" s="33">
        <f t="shared" si="19"/>
        <v>-1</v>
      </c>
    </row>
    <row r="137" spans="2:21" x14ac:dyDescent="0.3">
      <c r="B137" s="5">
        <v>45875</v>
      </c>
      <c r="C137" s="6">
        <v>936000</v>
      </c>
      <c r="D137" s="6">
        <v>936000</v>
      </c>
      <c r="E137" s="6">
        <v>961000</v>
      </c>
      <c r="F137" s="6">
        <v>184646</v>
      </c>
      <c r="G137" s="6">
        <v>172601146500</v>
      </c>
      <c r="H137" s="6">
        <f t="shared" si="20"/>
        <v>907000</v>
      </c>
      <c r="I137" s="6">
        <f t="shared" si="21"/>
        <v>952668.676700679</v>
      </c>
      <c r="J137" s="6">
        <f t="shared" si="13"/>
        <v>936000</v>
      </c>
      <c r="K137" s="6"/>
      <c r="L137">
        <v>684000</v>
      </c>
      <c r="M137">
        <f t="shared" si="14"/>
        <v>782000</v>
      </c>
      <c r="N137">
        <f t="shared" si="15"/>
        <v>782000</v>
      </c>
      <c r="O137">
        <f t="shared" si="16"/>
        <v>684000</v>
      </c>
      <c r="P137">
        <f t="shared" si="17"/>
        <v>-684000</v>
      </c>
      <c r="Q137" s="30">
        <f>VLOOKUP(B137,Sheet2!$A$15:$G$380,5,FALSE)*S137/10</f>
        <v>0</v>
      </c>
      <c r="R137" s="30">
        <f>VLOOKUP(B137,Sheet2!$A$15:$G$380,7,FALSE)*S137/10</f>
        <v>0</v>
      </c>
      <c r="T137" s="33">
        <f t="shared" si="18"/>
        <v>-1</v>
      </c>
      <c r="U137" s="33">
        <f t="shared" si="19"/>
        <v>-1</v>
      </c>
    </row>
    <row r="138" spans="2:21" x14ac:dyDescent="0.3">
      <c r="B138" s="5">
        <v>45876</v>
      </c>
      <c r="C138" s="6">
        <v>932000</v>
      </c>
      <c r="D138" s="6">
        <v>932000</v>
      </c>
      <c r="E138" s="6">
        <v>936000</v>
      </c>
      <c r="F138" s="6">
        <v>155826</v>
      </c>
      <c r="G138" s="6">
        <v>145059286500</v>
      </c>
      <c r="H138" s="6">
        <f t="shared" si="20"/>
        <v>911000</v>
      </c>
      <c r="I138" s="6">
        <f t="shared" si="21"/>
        <v>937514.76928149047</v>
      </c>
      <c r="J138" s="6">
        <f t="shared" si="13"/>
        <v>932000</v>
      </c>
      <c r="K138" s="6"/>
      <c r="L138">
        <v>684000</v>
      </c>
      <c r="M138">
        <f t="shared" si="14"/>
        <v>778000</v>
      </c>
      <c r="N138">
        <f t="shared" si="15"/>
        <v>778000</v>
      </c>
      <c r="O138">
        <f t="shared" si="16"/>
        <v>684000</v>
      </c>
      <c r="P138">
        <f t="shared" si="17"/>
        <v>-684000</v>
      </c>
      <c r="Q138" s="30">
        <f>VLOOKUP(B138,Sheet2!$A$15:$G$380,5,FALSE)*S138/10</f>
        <v>0</v>
      </c>
      <c r="R138" s="30">
        <f>VLOOKUP(B138,Sheet2!$A$15:$G$380,7,FALSE)*S138/10</f>
        <v>0</v>
      </c>
      <c r="T138" s="33">
        <f t="shared" si="18"/>
        <v>-1</v>
      </c>
      <c r="U138" s="33">
        <f t="shared" si="19"/>
        <v>-1</v>
      </c>
    </row>
    <row r="139" spans="2:21" x14ac:dyDescent="0.3">
      <c r="B139" s="7">
        <v>45877</v>
      </c>
      <c r="C139" s="8">
        <v>881000</v>
      </c>
      <c r="D139" s="8">
        <v>881000</v>
      </c>
      <c r="E139" s="8">
        <v>932000</v>
      </c>
      <c r="F139" s="8">
        <v>330808</v>
      </c>
      <c r="G139" s="8">
        <v>294419535950</v>
      </c>
      <c r="H139" s="6">
        <f t="shared" si="20"/>
        <v>913000</v>
      </c>
      <c r="I139" s="6">
        <f t="shared" si="21"/>
        <v>929033.20630000171</v>
      </c>
      <c r="J139" s="6">
        <f t="shared" si="13"/>
        <v>881000</v>
      </c>
      <c r="K139" s="6"/>
      <c r="L139">
        <v>684000</v>
      </c>
      <c r="M139">
        <f t="shared" si="14"/>
        <v>739000</v>
      </c>
      <c r="N139">
        <f t="shared" si="15"/>
        <v>739000</v>
      </c>
      <c r="O139">
        <f t="shared" si="16"/>
        <v>684000</v>
      </c>
      <c r="P139">
        <f t="shared" si="17"/>
        <v>-684000</v>
      </c>
      <c r="Q139" s="30">
        <f>VLOOKUP(B139,Sheet2!$A$15:$G$380,5,FALSE)*S139/10</f>
        <v>0</v>
      </c>
      <c r="R139" s="30">
        <f>VLOOKUP(B139,Sheet2!$A$15:$G$380,7,FALSE)*S139/10</f>
        <v>0</v>
      </c>
      <c r="T139" s="33">
        <f t="shared" si="18"/>
        <v>-1</v>
      </c>
      <c r="U139" s="33">
        <f t="shared" si="19"/>
        <v>-1</v>
      </c>
    </row>
    <row r="140" spans="2:21" x14ac:dyDescent="0.3">
      <c r="B140" s="5">
        <v>45878</v>
      </c>
      <c r="C140" s="6">
        <v>881000</v>
      </c>
      <c r="D140" s="6">
        <v>881000</v>
      </c>
      <c r="E140" s="6">
        <v>932000</v>
      </c>
      <c r="F140" s="6">
        <v>330808</v>
      </c>
      <c r="G140" s="6">
        <v>294419535950</v>
      </c>
      <c r="H140" s="6">
        <f t="shared" si="20"/>
        <v>914000</v>
      </c>
      <c r="I140" s="6">
        <f t="shared" si="21"/>
        <v>919681.25047755544</v>
      </c>
      <c r="J140" s="6">
        <f t="shared" si="13"/>
        <v>881000</v>
      </c>
      <c r="K140" s="6"/>
      <c r="L140">
        <v>684000</v>
      </c>
      <c r="M140">
        <f t="shared" si="14"/>
        <v>739000</v>
      </c>
      <c r="N140">
        <f t="shared" si="15"/>
        <v>739000</v>
      </c>
      <c r="O140">
        <f t="shared" si="16"/>
        <v>684000</v>
      </c>
      <c r="P140">
        <f t="shared" si="17"/>
        <v>-684000</v>
      </c>
      <c r="Q140" s="30">
        <f>VLOOKUP(B140,Sheet2!$A$15:$G$380,5,FALSE)*S140/10</f>
        <v>0</v>
      </c>
      <c r="R140" s="30">
        <f>VLOOKUP(B140,Sheet2!$A$15:$G$380,7,FALSE)*S140/10</f>
        <v>0</v>
      </c>
      <c r="T140" s="33">
        <f t="shared" si="18"/>
        <v>-1</v>
      </c>
      <c r="U140" s="33">
        <f t="shared" si="19"/>
        <v>-1</v>
      </c>
    </row>
    <row r="141" spans="2:21" x14ac:dyDescent="0.3">
      <c r="B141" s="5">
        <v>45879</v>
      </c>
      <c r="C141" s="6">
        <v>881000</v>
      </c>
      <c r="D141" s="6">
        <v>881000</v>
      </c>
      <c r="E141" s="6">
        <v>932000</v>
      </c>
      <c r="F141" s="6">
        <v>330808</v>
      </c>
      <c r="G141" s="6">
        <v>294419535950</v>
      </c>
      <c r="H141" s="6">
        <f t="shared" si="20"/>
        <v>916000</v>
      </c>
      <c r="I141" s="6">
        <f t="shared" si="21"/>
        <v>909317.67340530816</v>
      </c>
      <c r="J141" s="6">
        <f t="shared" si="13"/>
        <v>881000</v>
      </c>
      <c r="K141" s="6"/>
      <c r="L141">
        <v>684000</v>
      </c>
      <c r="M141">
        <f t="shared" si="14"/>
        <v>739000</v>
      </c>
      <c r="N141">
        <f t="shared" si="15"/>
        <v>739000</v>
      </c>
      <c r="O141">
        <f t="shared" si="16"/>
        <v>684000</v>
      </c>
      <c r="P141">
        <f t="shared" si="17"/>
        <v>-684000</v>
      </c>
      <c r="Q141" s="30">
        <f>VLOOKUP(B141,Sheet2!$A$15:$G$380,5,FALSE)*S141/10</f>
        <v>0</v>
      </c>
      <c r="R141" s="30">
        <f>VLOOKUP(B141,Sheet2!$A$15:$G$380,7,FALSE)*S141/10</f>
        <v>0</v>
      </c>
      <c r="T141" s="33">
        <f t="shared" si="18"/>
        <v>-1</v>
      </c>
      <c r="U141" s="33">
        <f t="shared" si="19"/>
        <v>-1</v>
      </c>
    </row>
    <row r="142" spans="2:21" x14ac:dyDescent="0.3">
      <c r="B142" s="5">
        <v>45880</v>
      </c>
      <c r="C142" s="6">
        <v>880000</v>
      </c>
      <c r="D142" s="6">
        <v>880000</v>
      </c>
      <c r="E142" s="6">
        <v>881000</v>
      </c>
      <c r="F142" s="6">
        <v>157243</v>
      </c>
      <c r="G142" s="6">
        <v>139086524000</v>
      </c>
      <c r="H142" s="6">
        <f t="shared" si="20"/>
        <v>919000</v>
      </c>
      <c r="I142" s="6">
        <f t="shared" si="21"/>
        <v>905203.67466345173</v>
      </c>
      <c r="J142" s="6">
        <f t="shared" si="13"/>
        <v>880000</v>
      </c>
      <c r="K142" s="6"/>
      <c r="L142">
        <v>684000</v>
      </c>
      <c r="M142">
        <f t="shared" si="14"/>
        <v>739000</v>
      </c>
      <c r="N142">
        <f t="shared" si="15"/>
        <v>739000</v>
      </c>
      <c r="O142">
        <f t="shared" si="16"/>
        <v>684000</v>
      </c>
      <c r="P142">
        <f t="shared" si="17"/>
        <v>-684000</v>
      </c>
      <c r="Q142" s="30">
        <f>VLOOKUP(B142,Sheet2!$A$15:$G$380,5,FALSE)*S142/10</f>
        <v>0</v>
      </c>
      <c r="R142" s="30">
        <f>VLOOKUP(B142,Sheet2!$A$15:$G$380,7,FALSE)*S142/10</f>
        <v>0</v>
      </c>
      <c r="T142" s="33">
        <f t="shared" si="18"/>
        <v>-1</v>
      </c>
      <c r="U142" s="33">
        <f t="shared" si="19"/>
        <v>-1</v>
      </c>
    </row>
    <row r="143" spans="2:21" x14ac:dyDescent="0.3">
      <c r="B143" s="5">
        <v>45881</v>
      </c>
      <c r="C143" s="6">
        <v>851000</v>
      </c>
      <c r="D143" s="6">
        <v>851000</v>
      </c>
      <c r="E143" s="6">
        <v>880000</v>
      </c>
      <c r="F143" s="6">
        <v>307287</v>
      </c>
      <c r="G143" s="6">
        <v>264815503500</v>
      </c>
      <c r="H143" s="6">
        <f t="shared" si="20"/>
        <v>920000</v>
      </c>
      <c r="I143" s="6">
        <f t="shared" si="21"/>
        <v>892844.02715327358</v>
      </c>
      <c r="J143" s="6">
        <f t="shared" si="13"/>
        <v>851000</v>
      </c>
      <c r="K143" s="6"/>
      <c r="L143">
        <v>684000</v>
      </c>
      <c r="M143">
        <f t="shared" si="14"/>
        <v>714000</v>
      </c>
      <c r="N143">
        <f t="shared" si="15"/>
        <v>714000</v>
      </c>
      <c r="O143">
        <f t="shared" si="16"/>
        <v>684000</v>
      </c>
      <c r="P143">
        <f t="shared" si="17"/>
        <v>-684000</v>
      </c>
      <c r="Q143" s="30">
        <f>VLOOKUP(B143,Sheet2!$A$15:$G$380,5,FALSE)*S143/10</f>
        <v>0</v>
      </c>
      <c r="R143" s="30">
        <f>VLOOKUP(B143,Sheet2!$A$15:$G$380,7,FALSE)*S143/10</f>
        <v>0</v>
      </c>
      <c r="T143" s="33">
        <f t="shared" si="18"/>
        <v>-1</v>
      </c>
      <c r="U143" s="33">
        <f t="shared" si="19"/>
        <v>-1</v>
      </c>
    </row>
    <row r="144" spans="2:21" x14ac:dyDescent="0.3">
      <c r="B144" s="7">
        <v>45882</v>
      </c>
      <c r="C144" s="8">
        <v>878000</v>
      </c>
      <c r="D144" s="8">
        <v>878000</v>
      </c>
      <c r="E144" s="8">
        <v>851000</v>
      </c>
      <c r="F144" s="8">
        <v>394063</v>
      </c>
      <c r="G144" s="8">
        <v>334592974500</v>
      </c>
      <c r="H144" s="6">
        <f t="shared" si="20"/>
        <v>919000</v>
      </c>
      <c r="I144" s="6">
        <f t="shared" si="21"/>
        <v>880394.17948987545</v>
      </c>
      <c r="J144" s="6">
        <f t="shared" si="13"/>
        <v>878000</v>
      </c>
      <c r="K144" s="6"/>
      <c r="L144">
        <v>684000</v>
      </c>
      <c r="M144">
        <f t="shared" si="14"/>
        <v>737000</v>
      </c>
      <c r="N144">
        <f t="shared" si="15"/>
        <v>737000</v>
      </c>
      <c r="O144">
        <f t="shared" si="16"/>
        <v>684000</v>
      </c>
      <c r="P144">
        <f t="shared" si="17"/>
        <v>-684000</v>
      </c>
      <c r="Q144" s="30">
        <f>VLOOKUP(B144,Sheet2!$A$15:$G$380,5,FALSE)*S144/10</f>
        <v>0</v>
      </c>
      <c r="R144" s="30">
        <f>VLOOKUP(B144,Sheet2!$A$15:$G$380,7,FALSE)*S144/10</f>
        <v>0</v>
      </c>
      <c r="T144" s="33">
        <f t="shared" si="18"/>
        <v>-1</v>
      </c>
      <c r="U144" s="33">
        <f t="shared" si="19"/>
        <v>-1</v>
      </c>
    </row>
    <row r="145" spans="2:21" x14ac:dyDescent="0.3">
      <c r="B145" s="5">
        <v>45883</v>
      </c>
      <c r="C145" s="6">
        <v>883000</v>
      </c>
      <c r="D145" s="6">
        <v>883000</v>
      </c>
      <c r="E145" s="6">
        <v>878000</v>
      </c>
      <c r="F145" s="6">
        <v>241011</v>
      </c>
      <c r="G145" s="6">
        <v>213610520000</v>
      </c>
      <c r="H145" s="6">
        <f t="shared" si="20"/>
        <v>921000</v>
      </c>
      <c r="I145" s="6">
        <f t="shared" si="21"/>
        <v>877313.36762701068</v>
      </c>
      <c r="J145" s="6">
        <f t="shared" si="13"/>
        <v>883000</v>
      </c>
      <c r="K145" s="6"/>
      <c r="L145">
        <v>684000</v>
      </c>
      <c r="M145">
        <f t="shared" si="14"/>
        <v>741000</v>
      </c>
      <c r="N145">
        <f t="shared" si="15"/>
        <v>741000</v>
      </c>
      <c r="O145">
        <f t="shared" si="16"/>
        <v>684000</v>
      </c>
      <c r="P145">
        <f t="shared" si="17"/>
        <v>-684000</v>
      </c>
      <c r="Q145" s="30">
        <f>VLOOKUP(B145,Sheet2!$A$15:$G$380,5,FALSE)*S145/10</f>
        <v>0</v>
      </c>
      <c r="R145" s="30">
        <f>VLOOKUP(B145,Sheet2!$A$15:$G$380,7,FALSE)*S145/10</f>
        <v>0</v>
      </c>
      <c r="T145" s="33">
        <f t="shared" si="18"/>
        <v>-1</v>
      </c>
      <c r="U145" s="33">
        <f t="shared" si="19"/>
        <v>-1</v>
      </c>
    </row>
    <row r="146" spans="2:21" x14ac:dyDescent="0.3">
      <c r="B146" s="5">
        <v>45884</v>
      </c>
      <c r="C146" s="6">
        <v>883000</v>
      </c>
      <c r="D146" s="6">
        <v>883000</v>
      </c>
      <c r="E146" s="6">
        <v>878000</v>
      </c>
      <c r="F146" s="6">
        <v>241011</v>
      </c>
      <c r="G146" s="6">
        <v>213610520000</v>
      </c>
      <c r="H146" s="6">
        <f t="shared" si="20"/>
        <v>922000</v>
      </c>
      <c r="I146" s="6">
        <f t="shared" si="21"/>
        <v>876300.04425063846</v>
      </c>
      <c r="J146" s="6">
        <f t="shared" si="13"/>
        <v>883000</v>
      </c>
      <c r="K146" s="6"/>
      <c r="L146">
        <v>684000</v>
      </c>
      <c r="M146">
        <f t="shared" si="14"/>
        <v>741000</v>
      </c>
      <c r="N146">
        <f t="shared" si="15"/>
        <v>741000</v>
      </c>
      <c r="O146">
        <f t="shared" si="16"/>
        <v>684000</v>
      </c>
      <c r="P146">
        <f t="shared" si="17"/>
        <v>-684000</v>
      </c>
      <c r="Q146" s="30">
        <f>VLOOKUP(B146,Sheet2!$A$15:$G$380,5,FALSE)*S146/10</f>
        <v>0</v>
      </c>
      <c r="R146" s="30">
        <f>VLOOKUP(B146,Sheet2!$A$15:$G$380,7,FALSE)*S146/10</f>
        <v>0</v>
      </c>
      <c r="T146" s="33">
        <f t="shared" si="18"/>
        <v>-1</v>
      </c>
      <c r="U146" s="33">
        <f t="shared" si="19"/>
        <v>-1</v>
      </c>
    </row>
    <row r="147" spans="2:21" x14ac:dyDescent="0.3">
      <c r="B147" s="5">
        <v>45885</v>
      </c>
      <c r="C147" s="6">
        <v>883000</v>
      </c>
      <c r="D147" s="6">
        <v>883000</v>
      </c>
      <c r="E147" s="6">
        <v>878000</v>
      </c>
      <c r="F147" s="6">
        <v>241011</v>
      </c>
      <c r="G147" s="6">
        <v>213610520000</v>
      </c>
      <c r="H147" s="6">
        <f t="shared" si="20"/>
        <v>922000</v>
      </c>
      <c r="I147" s="6">
        <f t="shared" si="21"/>
        <v>875191.56109439593</v>
      </c>
      <c r="J147" s="6">
        <f t="shared" si="13"/>
        <v>883000</v>
      </c>
      <c r="K147" s="6"/>
      <c r="L147">
        <v>684000</v>
      </c>
      <c r="M147">
        <f t="shared" si="14"/>
        <v>741000</v>
      </c>
      <c r="N147">
        <f t="shared" si="15"/>
        <v>741000</v>
      </c>
      <c r="O147">
        <f t="shared" si="16"/>
        <v>684000</v>
      </c>
      <c r="P147">
        <f t="shared" si="17"/>
        <v>-684000</v>
      </c>
      <c r="Q147" s="30">
        <f>VLOOKUP(B147,Sheet2!$A$15:$G$380,5,FALSE)*S147/10</f>
        <v>0</v>
      </c>
      <c r="R147" s="30">
        <f>VLOOKUP(B147,Sheet2!$A$15:$G$380,7,FALSE)*S147/10</f>
        <v>0</v>
      </c>
      <c r="T147" s="33">
        <f t="shared" si="18"/>
        <v>-1</v>
      </c>
      <c r="U147" s="33">
        <f t="shared" si="19"/>
        <v>-1</v>
      </c>
    </row>
    <row r="148" spans="2:21" x14ac:dyDescent="0.3">
      <c r="B148" s="5">
        <v>45886</v>
      </c>
      <c r="C148" s="6">
        <v>883000</v>
      </c>
      <c r="D148" s="6">
        <v>883000</v>
      </c>
      <c r="E148" s="6">
        <v>878000</v>
      </c>
      <c r="F148" s="6">
        <v>241011</v>
      </c>
      <c r="G148" s="6">
        <v>213610520000</v>
      </c>
      <c r="H148" s="6">
        <f t="shared" si="20"/>
        <v>922000</v>
      </c>
      <c r="I148" s="6">
        <f t="shared" si="21"/>
        <v>873973.85326864314</v>
      </c>
      <c r="J148" s="6">
        <f t="shared" si="13"/>
        <v>883000</v>
      </c>
      <c r="K148" s="6"/>
      <c r="L148">
        <v>684000</v>
      </c>
      <c r="M148">
        <f t="shared" si="14"/>
        <v>741000</v>
      </c>
      <c r="N148">
        <f t="shared" si="15"/>
        <v>741000</v>
      </c>
      <c r="O148">
        <f t="shared" si="16"/>
        <v>684000</v>
      </c>
      <c r="P148">
        <f t="shared" si="17"/>
        <v>-684000</v>
      </c>
      <c r="Q148" s="30">
        <f>VLOOKUP(B148,Sheet2!$A$15:$G$380,5,FALSE)*S148/10</f>
        <v>0</v>
      </c>
      <c r="R148" s="30">
        <f>VLOOKUP(B148,Sheet2!$A$15:$G$380,7,FALSE)*S148/10</f>
        <v>0</v>
      </c>
      <c r="T148" s="33">
        <f t="shared" si="18"/>
        <v>-1</v>
      </c>
      <c r="U148" s="33">
        <f t="shared" si="19"/>
        <v>-1</v>
      </c>
    </row>
    <row r="149" spans="2:21" x14ac:dyDescent="0.3">
      <c r="B149" s="7">
        <v>45887</v>
      </c>
      <c r="C149" s="8">
        <v>888000</v>
      </c>
      <c r="D149" s="8">
        <v>888000</v>
      </c>
      <c r="E149" s="8">
        <v>883000</v>
      </c>
      <c r="F149" s="8">
        <v>236731</v>
      </c>
      <c r="G149" s="8">
        <v>208966161500</v>
      </c>
      <c r="H149" s="6">
        <f t="shared" si="20"/>
        <v>921000</v>
      </c>
      <c r="I149" s="6">
        <f t="shared" si="21"/>
        <v>874188.98311099433</v>
      </c>
      <c r="J149" s="6">
        <f t="shared" si="13"/>
        <v>888000</v>
      </c>
      <c r="K149" s="6"/>
      <c r="L149">
        <v>684000</v>
      </c>
      <c r="M149">
        <f t="shared" si="14"/>
        <v>745000</v>
      </c>
      <c r="N149">
        <f t="shared" si="15"/>
        <v>745000</v>
      </c>
      <c r="O149">
        <f t="shared" si="16"/>
        <v>684000</v>
      </c>
      <c r="P149">
        <f t="shared" si="17"/>
        <v>-684000</v>
      </c>
      <c r="Q149" s="30">
        <f>VLOOKUP(B149,Sheet2!$A$15:$G$380,5,FALSE)*S149/10</f>
        <v>0</v>
      </c>
      <c r="R149" s="30">
        <f>VLOOKUP(B149,Sheet2!$A$15:$G$380,7,FALSE)*S149/10</f>
        <v>0</v>
      </c>
      <c r="T149" s="33">
        <f t="shared" si="18"/>
        <v>-1</v>
      </c>
      <c r="U149" s="33">
        <f t="shared" si="19"/>
        <v>-1</v>
      </c>
    </row>
    <row r="150" spans="2:21" x14ac:dyDescent="0.3">
      <c r="B150" s="5">
        <v>45888</v>
      </c>
      <c r="C150" s="6">
        <v>827000</v>
      </c>
      <c r="D150" s="6">
        <v>827000</v>
      </c>
      <c r="E150" s="6">
        <v>888000</v>
      </c>
      <c r="F150" s="6">
        <v>256827</v>
      </c>
      <c r="G150" s="6">
        <v>218235710000</v>
      </c>
      <c r="H150" s="6">
        <f t="shared" si="20"/>
        <v>919000</v>
      </c>
      <c r="I150" s="6">
        <f t="shared" si="21"/>
        <v>872856.01121153124</v>
      </c>
      <c r="J150" s="6">
        <f t="shared" si="13"/>
        <v>827000</v>
      </c>
      <c r="K150" s="6"/>
      <c r="L150">
        <v>684000</v>
      </c>
      <c r="M150">
        <f t="shared" si="14"/>
        <v>694000</v>
      </c>
      <c r="N150">
        <f t="shared" si="15"/>
        <v>694000</v>
      </c>
      <c r="O150">
        <f t="shared" si="16"/>
        <v>684000</v>
      </c>
      <c r="P150">
        <f t="shared" si="17"/>
        <v>-684000</v>
      </c>
      <c r="Q150" s="30">
        <f>VLOOKUP(B150,Sheet2!$A$15:$G$380,5,FALSE)*S150/10</f>
        <v>0</v>
      </c>
      <c r="R150" s="30">
        <f>VLOOKUP(B150,Sheet2!$A$15:$G$380,7,FALSE)*S150/10</f>
        <v>0</v>
      </c>
      <c r="T150" s="33">
        <f t="shared" si="18"/>
        <v>-1</v>
      </c>
      <c r="U150" s="33">
        <f t="shared" si="19"/>
        <v>-1</v>
      </c>
    </row>
    <row r="151" spans="2:21" x14ac:dyDescent="0.3">
      <c r="B151" s="5">
        <v>45889</v>
      </c>
      <c r="C151" s="6">
        <v>816000</v>
      </c>
      <c r="D151" s="6">
        <v>816000</v>
      </c>
      <c r="E151" s="6">
        <v>827000</v>
      </c>
      <c r="F151" s="6">
        <v>322736</v>
      </c>
      <c r="G151" s="6">
        <v>261901244307</v>
      </c>
      <c r="H151" s="6">
        <f t="shared" si="20"/>
        <v>915000</v>
      </c>
      <c r="I151" s="6">
        <f t="shared" si="21"/>
        <v>866995.59061650094</v>
      </c>
      <c r="J151" s="6">
        <f t="shared" si="13"/>
        <v>816000</v>
      </c>
      <c r="K151" s="6"/>
      <c r="L151">
        <v>684000</v>
      </c>
      <c r="M151">
        <f t="shared" si="14"/>
        <v>685000</v>
      </c>
      <c r="N151">
        <f t="shared" si="15"/>
        <v>685000</v>
      </c>
      <c r="O151">
        <f t="shared" si="16"/>
        <v>684000</v>
      </c>
      <c r="P151">
        <f t="shared" si="17"/>
        <v>-684000</v>
      </c>
      <c r="Q151" s="30">
        <f>VLOOKUP(B151,Sheet2!$A$15:$G$380,5,FALSE)*S151/10</f>
        <v>0</v>
      </c>
      <c r="R151" s="30">
        <f>VLOOKUP(B151,Sheet2!$A$15:$G$380,7,FALSE)*S151/10</f>
        <v>0</v>
      </c>
      <c r="T151" s="33">
        <f t="shared" si="18"/>
        <v>-1</v>
      </c>
      <c r="U151" s="33">
        <f t="shared" si="19"/>
        <v>-1</v>
      </c>
    </row>
    <row r="152" spans="2:21" x14ac:dyDescent="0.3">
      <c r="B152" s="5">
        <v>45890</v>
      </c>
      <c r="C152" s="6">
        <v>834000</v>
      </c>
      <c r="D152" s="6">
        <v>834000</v>
      </c>
      <c r="E152" s="6">
        <v>816000</v>
      </c>
      <c r="F152" s="6">
        <v>128018</v>
      </c>
      <c r="G152" s="6">
        <v>107207066500</v>
      </c>
      <c r="H152" s="6">
        <f t="shared" si="20"/>
        <v>914000</v>
      </c>
      <c r="I152" s="6">
        <f t="shared" si="21"/>
        <v>861934.23814927321</v>
      </c>
      <c r="J152" s="6">
        <f t="shared" si="13"/>
        <v>834000</v>
      </c>
      <c r="K152" s="6"/>
      <c r="L152">
        <v>684000</v>
      </c>
      <c r="M152">
        <f t="shared" si="14"/>
        <v>700000</v>
      </c>
      <c r="N152">
        <f t="shared" si="15"/>
        <v>700000</v>
      </c>
      <c r="O152">
        <f t="shared" si="16"/>
        <v>684000</v>
      </c>
      <c r="P152">
        <f t="shared" si="17"/>
        <v>-684000</v>
      </c>
      <c r="Q152" s="30">
        <f>VLOOKUP(B152,Sheet2!$A$15:$G$380,5,FALSE)*S152/10</f>
        <v>0</v>
      </c>
      <c r="R152" s="30">
        <f>VLOOKUP(B152,Sheet2!$A$15:$G$380,7,FALSE)*S152/10</f>
        <v>0</v>
      </c>
      <c r="T152" s="33">
        <f t="shared" si="18"/>
        <v>-1</v>
      </c>
      <c r="U152" s="33">
        <f t="shared" si="19"/>
        <v>-1</v>
      </c>
    </row>
    <row r="153" spans="2:21" x14ac:dyDescent="0.3">
      <c r="B153" s="5">
        <v>45891</v>
      </c>
      <c r="C153" s="6">
        <v>891000</v>
      </c>
      <c r="D153" s="6">
        <v>891000</v>
      </c>
      <c r="E153" s="6">
        <v>834000</v>
      </c>
      <c r="F153" s="6">
        <v>255134</v>
      </c>
      <c r="G153" s="6">
        <v>225122278000</v>
      </c>
      <c r="H153" s="6">
        <f t="shared" si="20"/>
        <v>913000</v>
      </c>
      <c r="I153" s="6">
        <f t="shared" si="21"/>
        <v>861540.92751512374</v>
      </c>
      <c r="J153" s="6">
        <f t="shared" si="13"/>
        <v>891000</v>
      </c>
      <c r="K153" s="6"/>
      <c r="L153">
        <v>684000</v>
      </c>
      <c r="M153">
        <f t="shared" si="14"/>
        <v>746000</v>
      </c>
      <c r="N153">
        <f t="shared" si="15"/>
        <v>746000</v>
      </c>
      <c r="O153">
        <f t="shared" si="16"/>
        <v>684000</v>
      </c>
      <c r="P153">
        <f t="shared" si="17"/>
        <v>-684000</v>
      </c>
      <c r="Q153" s="30">
        <f>VLOOKUP(B153,Sheet2!$A$15:$G$380,5,FALSE)*S153/10</f>
        <v>0</v>
      </c>
      <c r="R153" s="30">
        <f>VLOOKUP(B153,Sheet2!$A$15:$G$380,7,FALSE)*S153/10</f>
        <v>0</v>
      </c>
      <c r="T153" s="33">
        <f t="shared" si="18"/>
        <v>-1</v>
      </c>
      <c r="U153" s="33">
        <f t="shared" si="19"/>
        <v>-1</v>
      </c>
    </row>
    <row r="154" spans="2:21" x14ac:dyDescent="0.3">
      <c r="B154" s="7">
        <v>45892</v>
      </c>
      <c r="C154" s="8">
        <v>891000</v>
      </c>
      <c r="D154" s="8">
        <v>891000</v>
      </c>
      <c r="E154" s="8">
        <v>834000</v>
      </c>
      <c r="F154" s="8">
        <v>255134</v>
      </c>
      <c r="G154" s="8">
        <v>225122278000</v>
      </c>
      <c r="H154" s="6">
        <f t="shared" si="20"/>
        <v>911000</v>
      </c>
      <c r="I154" s="6">
        <f t="shared" si="21"/>
        <v>861154.16884555295</v>
      </c>
      <c r="J154" s="6">
        <f t="shared" si="13"/>
        <v>891000</v>
      </c>
      <c r="K154" s="6"/>
      <c r="L154">
        <v>684000</v>
      </c>
      <c r="M154">
        <f t="shared" si="14"/>
        <v>745000</v>
      </c>
      <c r="N154">
        <f t="shared" si="15"/>
        <v>745000</v>
      </c>
      <c r="O154">
        <f t="shared" si="16"/>
        <v>684000</v>
      </c>
      <c r="P154">
        <f t="shared" si="17"/>
        <v>-684000</v>
      </c>
      <c r="Q154" s="30">
        <f>VLOOKUP(B154,Sheet2!$A$15:$G$380,5,FALSE)*S154/10</f>
        <v>0</v>
      </c>
      <c r="R154" s="30">
        <f>VLOOKUP(B154,Sheet2!$A$15:$G$380,7,FALSE)*S154/10</f>
        <v>0</v>
      </c>
      <c r="T154" s="33">
        <f t="shared" si="18"/>
        <v>-1</v>
      </c>
      <c r="U154" s="33">
        <f t="shared" si="19"/>
        <v>-1</v>
      </c>
    </row>
    <row r="155" spans="2:21" x14ac:dyDescent="0.3">
      <c r="B155" s="5">
        <v>45893</v>
      </c>
      <c r="C155" s="6">
        <v>891000</v>
      </c>
      <c r="D155" s="6">
        <v>891000</v>
      </c>
      <c r="E155" s="6">
        <v>834000</v>
      </c>
      <c r="F155" s="6">
        <v>255134</v>
      </c>
      <c r="G155" s="6">
        <v>225122278000</v>
      </c>
      <c r="H155" s="6">
        <f t="shared" si="20"/>
        <v>910000</v>
      </c>
      <c r="I155" s="6">
        <f t="shared" si="21"/>
        <v>860773.79977411428</v>
      </c>
      <c r="J155" s="6">
        <f t="shared" si="13"/>
        <v>891000</v>
      </c>
      <c r="K155" s="6"/>
      <c r="L155">
        <v>684000</v>
      </c>
      <c r="M155">
        <f t="shared" si="14"/>
        <v>745000</v>
      </c>
      <c r="N155">
        <f t="shared" si="15"/>
        <v>745000</v>
      </c>
      <c r="O155">
        <f t="shared" si="16"/>
        <v>684000</v>
      </c>
      <c r="P155">
        <f t="shared" si="17"/>
        <v>-684000</v>
      </c>
      <c r="Q155" s="30">
        <f>VLOOKUP(B155,Sheet2!$A$15:$G$380,5,FALSE)*S155/10</f>
        <v>0</v>
      </c>
      <c r="R155" s="30">
        <f>VLOOKUP(B155,Sheet2!$A$15:$G$380,7,FALSE)*S155/10</f>
        <v>0</v>
      </c>
      <c r="T155" s="33">
        <f t="shared" si="18"/>
        <v>-1</v>
      </c>
      <c r="U155" s="33">
        <f t="shared" si="19"/>
        <v>-1</v>
      </c>
    </row>
    <row r="156" spans="2:21" x14ac:dyDescent="0.3">
      <c r="B156" s="5">
        <v>45894</v>
      </c>
      <c r="C156" s="6">
        <v>903000</v>
      </c>
      <c r="D156" s="6">
        <v>903000</v>
      </c>
      <c r="E156" s="6">
        <v>891000</v>
      </c>
      <c r="F156" s="6">
        <v>127028</v>
      </c>
      <c r="G156" s="6">
        <v>114168221500</v>
      </c>
      <c r="H156" s="6">
        <f t="shared" si="20"/>
        <v>909000</v>
      </c>
      <c r="I156" s="6">
        <f t="shared" si="21"/>
        <v>860543.50645526813</v>
      </c>
      <c r="J156" s="6">
        <f t="shared" si="13"/>
        <v>903000</v>
      </c>
      <c r="K156" s="6"/>
      <c r="L156">
        <v>684000</v>
      </c>
      <c r="M156">
        <f t="shared" si="14"/>
        <v>748000</v>
      </c>
      <c r="N156">
        <f t="shared" si="15"/>
        <v>748000</v>
      </c>
      <c r="O156">
        <f t="shared" si="16"/>
        <v>684000</v>
      </c>
      <c r="P156">
        <f t="shared" si="17"/>
        <v>-684000</v>
      </c>
      <c r="Q156" s="30">
        <f>VLOOKUP(B156,Sheet2!$A$15:$G$380,5,FALSE)*S156/10</f>
        <v>0</v>
      </c>
      <c r="R156" s="30">
        <f>VLOOKUP(B156,Sheet2!$A$15:$G$380,7,FALSE)*S156/10</f>
        <v>0</v>
      </c>
      <c r="T156" s="33">
        <f t="shared" si="18"/>
        <v>-1</v>
      </c>
      <c r="U156" s="33">
        <f t="shared" si="19"/>
        <v>-1</v>
      </c>
    </row>
    <row r="157" spans="2:21" x14ac:dyDescent="0.3">
      <c r="B157" s="5">
        <v>45895</v>
      </c>
      <c r="C157" s="6">
        <v>900000</v>
      </c>
      <c r="D157" s="6">
        <v>900000</v>
      </c>
      <c r="E157" s="6">
        <v>903000</v>
      </c>
      <c r="F157" s="6">
        <v>246639</v>
      </c>
      <c r="G157" s="6">
        <v>220986503500</v>
      </c>
      <c r="H157" s="6">
        <f t="shared" si="20"/>
        <v>908000</v>
      </c>
      <c r="I157" s="6">
        <f t="shared" si="21"/>
        <v>867788.34487046674</v>
      </c>
      <c r="J157" s="6">
        <f t="shared" si="13"/>
        <v>900000</v>
      </c>
      <c r="K157" s="6"/>
      <c r="L157">
        <v>684000</v>
      </c>
      <c r="M157">
        <f t="shared" si="14"/>
        <v>749000</v>
      </c>
      <c r="N157">
        <f t="shared" si="15"/>
        <v>749000</v>
      </c>
      <c r="O157">
        <f t="shared" si="16"/>
        <v>684000</v>
      </c>
      <c r="P157">
        <f t="shared" si="17"/>
        <v>-684000</v>
      </c>
      <c r="Q157" s="30">
        <f>VLOOKUP(B157,Sheet2!$A$15:$G$380,5,FALSE)*S157/10</f>
        <v>0</v>
      </c>
      <c r="R157" s="30">
        <f>VLOOKUP(B157,Sheet2!$A$15:$G$380,7,FALSE)*S157/10</f>
        <v>0</v>
      </c>
      <c r="T157" s="33">
        <f t="shared" si="18"/>
        <v>-1</v>
      </c>
      <c r="U157" s="33">
        <f t="shared" si="19"/>
        <v>-1</v>
      </c>
    </row>
    <row r="158" spans="2:21" x14ac:dyDescent="0.3">
      <c r="B158" s="5">
        <v>45896</v>
      </c>
      <c r="C158" s="6">
        <v>907000</v>
      </c>
      <c r="D158" s="6">
        <v>907000</v>
      </c>
      <c r="E158" s="6">
        <v>900000</v>
      </c>
      <c r="F158" s="6">
        <v>112708</v>
      </c>
      <c r="G158" s="6">
        <v>101225756375</v>
      </c>
      <c r="H158" s="6">
        <f t="shared" si="20"/>
        <v>907000</v>
      </c>
      <c r="I158" s="6">
        <f t="shared" si="21"/>
        <v>883431.51111215795</v>
      </c>
      <c r="J158" s="6">
        <f t="shared" si="13"/>
        <v>907000</v>
      </c>
      <c r="K158" s="6"/>
      <c r="L158">
        <v>684000</v>
      </c>
      <c r="M158">
        <f t="shared" si="14"/>
        <v>755000</v>
      </c>
      <c r="N158">
        <f t="shared" si="15"/>
        <v>755000</v>
      </c>
      <c r="O158">
        <f t="shared" si="16"/>
        <v>684000</v>
      </c>
      <c r="P158">
        <f t="shared" si="17"/>
        <v>-684000</v>
      </c>
      <c r="Q158" s="30">
        <f>VLOOKUP(B158,Sheet2!$A$15:$G$380,5,FALSE)*S158/10</f>
        <v>0</v>
      </c>
      <c r="R158" s="30">
        <f>VLOOKUP(B158,Sheet2!$A$15:$G$380,7,FALSE)*S158/10</f>
        <v>0</v>
      </c>
      <c r="T158" s="33">
        <f t="shared" si="18"/>
        <v>-1</v>
      </c>
      <c r="U158" s="33">
        <f t="shared" si="19"/>
        <v>-1</v>
      </c>
    </row>
    <row r="159" spans="2:21" x14ac:dyDescent="0.3">
      <c r="B159" s="7">
        <v>45897</v>
      </c>
      <c r="C159" s="8">
        <v>908000</v>
      </c>
      <c r="D159" s="8">
        <v>908000</v>
      </c>
      <c r="E159" s="8">
        <v>907000</v>
      </c>
      <c r="F159" s="8">
        <v>146074</v>
      </c>
      <c r="G159" s="8">
        <v>134111548000</v>
      </c>
      <c r="H159" s="6">
        <f t="shared" si="20"/>
        <v>904000</v>
      </c>
      <c r="I159" s="6">
        <f t="shared" si="21"/>
        <v>891267.28340502677</v>
      </c>
      <c r="J159" s="6">
        <f t="shared" ref="J159:J222" si="22">C159</f>
        <v>908000</v>
      </c>
      <c r="K159" s="6"/>
      <c r="L159">
        <v>684000</v>
      </c>
      <c r="M159">
        <f t="shared" ref="M159:M222" si="23">CEILING(MIN(AVERAGE(H159,I159,J159),J159)*(1-$W$5)/(1+$W$4*$W$5),1000)</f>
        <v>756000</v>
      </c>
      <c r="N159">
        <f t="shared" ref="N159:N222" si="24">CEILING(MIN(AVERAGE(H159,I159,J159),J159)*(1-$W$5)/(1+$W$4*$W$5),1000)</f>
        <v>756000</v>
      </c>
      <c r="O159">
        <f t="shared" ref="O159:O222" si="25">MAX(MIN(L159,M159),N159*0.6)</f>
        <v>684000</v>
      </c>
      <c r="P159">
        <f t="shared" ref="P159:P222" si="26">Q159-O159</f>
        <v>-684000</v>
      </c>
      <c r="Q159" s="30">
        <f>VLOOKUP(B159,Sheet2!$A$15:$G$380,5,FALSE)*S159/10</f>
        <v>0</v>
      </c>
      <c r="R159" s="30">
        <f>VLOOKUP(B159,Sheet2!$A$15:$G$380,7,FALSE)*S159/10</f>
        <v>0</v>
      </c>
      <c r="T159" s="33">
        <f t="shared" ref="T159:T222" si="27">(Q159-C159)/C159</f>
        <v>-1</v>
      </c>
      <c r="U159" s="33">
        <f t="shared" ref="U159:U222" si="28">(R159-C159)/C159</f>
        <v>-1</v>
      </c>
    </row>
    <row r="160" spans="2:21" x14ac:dyDescent="0.3">
      <c r="B160" s="5">
        <v>45898</v>
      </c>
      <c r="C160" s="6">
        <v>884000</v>
      </c>
      <c r="D160" s="6">
        <v>884000</v>
      </c>
      <c r="E160" s="6">
        <v>908000</v>
      </c>
      <c r="F160" s="6">
        <v>183497</v>
      </c>
      <c r="G160" s="6">
        <v>163921983000</v>
      </c>
      <c r="H160" s="6">
        <f t="shared" si="20"/>
        <v>901000</v>
      </c>
      <c r="I160" s="6">
        <f t="shared" si="21"/>
        <v>893263.50677567872</v>
      </c>
      <c r="J160" s="6">
        <f t="shared" si="22"/>
        <v>884000</v>
      </c>
      <c r="K160" s="6"/>
      <c r="L160">
        <v>684000</v>
      </c>
      <c r="M160">
        <f t="shared" si="23"/>
        <v>742000</v>
      </c>
      <c r="N160">
        <f t="shared" si="24"/>
        <v>742000</v>
      </c>
      <c r="O160">
        <f t="shared" si="25"/>
        <v>684000</v>
      </c>
      <c r="P160">
        <f t="shared" si="26"/>
        <v>-684000</v>
      </c>
      <c r="Q160" s="30">
        <f>VLOOKUP(B160,Sheet2!$A$15:$G$380,5,FALSE)*S160/10</f>
        <v>0</v>
      </c>
      <c r="R160" s="30">
        <f>VLOOKUP(B160,Sheet2!$A$15:$G$380,7,FALSE)*S160/10</f>
        <v>0</v>
      </c>
      <c r="T160" s="33">
        <f t="shared" si="27"/>
        <v>-1</v>
      </c>
      <c r="U160" s="33">
        <f t="shared" si="28"/>
        <v>-1</v>
      </c>
    </row>
    <row r="161" spans="2:21" x14ac:dyDescent="0.3">
      <c r="B161" s="5">
        <v>45899</v>
      </c>
      <c r="C161" s="6">
        <v>884000</v>
      </c>
      <c r="D161" s="6">
        <v>884000</v>
      </c>
      <c r="E161" s="6">
        <v>908000</v>
      </c>
      <c r="F161" s="6">
        <v>183497</v>
      </c>
      <c r="G161" s="6">
        <v>163921983000</v>
      </c>
      <c r="H161" s="6">
        <f t="shared" si="20"/>
        <v>893000</v>
      </c>
      <c r="I161" s="6">
        <f t="shared" si="21"/>
        <v>895487.7009342591</v>
      </c>
      <c r="J161" s="6">
        <f t="shared" si="22"/>
        <v>884000</v>
      </c>
      <c r="K161" s="6"/>
      <c r="L161">
        <v>684000</v>
      </c>
      <c r="M161">
        <f t="shared" si="23"/>
        <v>742000</v>
      </c>
      <c r="N161">
        <f t="shared" si="24"/>
        <v>742000</v>
      </c>
      <c r="O161">
        <f t="shared" si="25"/>
        <v>684000</v>
      </c>
      <c r="P161">
        <f t="shared" si="26"/>
        <v>-684000</v>
      </c>
      <c r="Q161" s="30">
        <f>VLOOKUP(B161,Sheet2!$A$15:$G$380,5,FALSE)*S161/10</f>
        <v>0</v>
      </c>
      <c r="R161" s="30">
        <f>VLOOKUP(B161,Sheet2!$A$15:$G$380,7,FALSE)*S161/10</f>
        <v>0</v>
      </c>
      <c r="T161" s="33">
        <f t="shared" si="27"/>
        <v>-1</v>
      </c>
      <c r="U161" s="33">
        <f t="shared" si="28"/>
        <v>-1</v>
      </c>
    </row>
    <row r="162" spans="2:21" x14ac:dyDescent="0.3">
      <c r="B162" s="5">
        <v>45900</v>
      </c>
      <c r="C162" s="6">
        <v>884000</v>
      </c>
      <c r="D162" s="6">
        <v>884000</v>
      </c>
      <c r="E162" s="6">
        <v>908000</v>
      </c>
      <c r="F162" s="6">
        <v>183497</v>
      </c>
      <c r="G162" s="6">
        <v>163921983000</v>
      </c>
      <c r="H162" s="6">
        <f t="shared" si="20"/>
        <v>891000</v>
      </c>
      <c r="I162" s="6">
        <f t="shared" si="21"/>
        <v>897981.28254602943</v>
      </c>
      <c r="J162" s="6">
        <f t="shared" si="22"/>
        <v>884000</v>
      </c>
      <c r="K162" s="6"/>
      <c r="L162">
        <v>684000</v>
      </c>
      <c r="M162">
        <f t="shared" si="23"/>
        <v>742000</v>
      </c>
      <c r="N162">
        <f t="shared" si="24"/>
        <v>742000</v>
      </c>
      <c r="O162">
        <f t="shared" si="25"/>
        <v>684000</v>
      </c>
      <c r="P162">
        <f t="shared" si="26"/>
        <v>-684000</v>
      </c>
      <c r="Q162" s="30">
        <f>VLOOKUP(B162,Sheet2!$A$15:$G$380,5,FALSE)*S162/10</f>
        <v>0</v>
      </c>
      <c r="R162" s="30">
        <f>VLOOKUP(B162,Sheet2!$A$15:$G$380,7,FALSE)*S162/10</f>
        <v>0</v>
      </c>
      <c r="T162" s="33">
        <f t="shared" si="27"/>
        <v>-1</v>
      </c>
      <c r="U162" s="33">
        <f t="shared" si="28"/>
        <v>-1</v>
      </c>
    </row>
    <row r="163" spans="2:21" x14ac:dyDescent="0.3">
      <c r="B163" s="5">
        <v>45901</v>
      </c>
      <c r="C163" s="6">
        <v>916000</v>
      </c>
      <c r="D163" s="6">
        <v>916000</v>
      </c>
      <c r="E163" s="6">
        <v>884000</v>
      </c>
      <c r="F163" s="6">
        <v>185557</v>
      </c>
      <c r="G163" s="6">
        <v>170693939000</v>
      </c>
      <c r="H163" s="6">
        <f t="shared" si="20"/>
        <v>889000</v>
      </c>
      <c r="I163" s="6">
        <f t="shared" si="21"/>
        <v>901177.311616319</v>
      </c>
      <c r="J163" s="6">
        <f t="shared" si="22"/>
        <v>916000</v>
      </c>
      <c r="K163" s="6"/>
      <c r="L163">
        <v>684000</v>
      </c>
      <c r="M163">
        <f t="shared" si="23"/>
        <v>757000</v>
      </c>
      <c r="N163">
        <f t="shared" si="24"/>
        <v>757000</v>
      </c>
      <c r="O163">
        <f t="shared" si="25"/>
        <v>684000</v>
      </c>
      <c r="P163">
        <f t="shared" si="26"/>
        <v>-684000</v>
      </c>
      <c r="Q163" s="30">
        <f>VLOOKUP(B163,Sheet2!$A$15:$G$380,5,FALSE)*S163/10</f>
        <v>0</v>
      </c>
      <c r="R163" s="30">
        <f>VLOOKUP(B163,Sheet2!$A$15:$G$380,7,FALSE)*S163/10</f>
        <v>0</v>
      </c>
      <c r="T163" s="33">
        <f t="shared" si="27"/>
        <v>-1</v>
      </c>
      <c r="U163" s="33">
        <f t="shared" si="28"/>
        <v>-1</v>
      </c>
    </row>
    <row r="164" spans="2:21" x14ac:dyDescent="0.3">
      <c r="B164" s="7">
        <v>45902</v>
      </c>
      <c r="C164" s="8">
        <v>933000</v>
      </c>
      <c r="D164" s="8">
        <v>933000</v>
      </c>
      <c r="E164" s="8">
        <v>916000</v>
      </c>
      <c r="F164" s="8">
        <v>129384</v>
      </c>
      <c r="G164" s="8">
        <v>120638445500</v>
      </c>
      <c r="H164" s="6">
        <f t="shared" si="20"/>
        <v>886000</v>
      </c>
      <c r="I164" s="6">
        <f t="shared" si="21"/>
        <v>905909.05101252964</v>
      </c>
      <c r="J164" s="6">
        <f t="shared" si="22"/>
        <v>933000</v>
      </c>
      <c r="K164" s="6"/>
      <c r="L164">
        <v>684000</v>
      </c>
      <c r="M164">
        <f t="shared" si="23"/>
        <v>762000</v>
      </c>
      <c r="N164">
        <f t="shared" si="24"/>
        <v>762000</v>
      </c>
      <c r="O164">
        <f t="shared" si="25"/>
        <v>684000</v>
      </c>
      <c r="P164">
        <f t="shared" si="26"/>
        <v>-684000</v>
      </c>
      <c r="Q164" s="30">
        <f>VLOOKUP(B164,Sheet2!$A$15:$G$380,5,FALSE)*S164/10</f>
        <v>0</v>
      </c>
      <c r="R164" s="30">
        <f>VLOOKUP(B164,Sheet2!$A$15:$G$380,7,FALSE)*S164/10</f>
        <v>0</v>
      </c>
      <c r="T164" s="33">
        <f t="shared" si="27"/>
        <v>-1</v>
      </c>
      <c r="U164" s="33">
        <f t="shared" si="28"/>
        <v>-1</v>
      </c>
    </row>
    <row r="165" spans="2:21" x14ac:dyDescent="0.3">
      <c r="B165" s="5">
        <v>45903</v>
      </c>
      <c r="C165" s="6">
        <v>941000</v>
      </c>
      <c r="D165" s="6">
        <v>941000</v>
      </c>
      <c r="E165" s="6">
        <v>933000</v>
      </c>
      <c r="F165" s="6">
        <v>152150</v>
      </c>
      <c r="G165" s="6">
        <v>143276514500</v>
      </c>
      <c r="H165" s="6">
        <f t="shared" si="20"/>
        <v>887000</v>
      </c>
      <c r="I165" s="6">
        <f t="shared" si="21"/>
        <v>911340.1176980139</v>
      </c>
      <c r="J165" s="6">
        <f t="shared" si="22"/>
        <v>941000</v>
      </c>
      <c r="K165" s="6"/>
      <c r="L165">
        <v>684000</v>
      </c>
      <c r="M165">
        <f t="shared" si="23"/>
        <v>766000</v>
      </c>
      <c r="N165">
        <f t="shared" si="24"/>
        <v>766000</v>
      </c>
      <c r="O165">
        <f t="shared" si="25"/>
        <v>684000</v>
      </c>
      <c r="P165">
        <f t="shared" si="26"/>
        <v>-684000</v>
      </c>
      <c r="Q165" s="30">
        <f>VLOOKUP(B165,Sheet2!$A$15:$G$380,5,FALSE)*S165/10</f>
        <v>0</v>
      </c>
      <c r="R165" s="30">
        <f>VLOOKUP(B165,Sheet2!$A$15:$G$380,7,FALSE)*S165/10</f>
        <v>0</v>
      </c>
      <c r="T165" s="33">
        <f t="shared" si="27"/>
        <v>-1</v>
      </c>
      <c r="U165" s="33">
        <f t="shared" si="28"/>
        <v>-1</v>
      </c>
    </row>
    <row r="166" spans="2:21" x14ac:dyDescent="0.3">
      <c r="B166" s="5">
        <v>45904</v>
      </c>
      <c r="C166" s="6">
        <v>931000</v>
      </c>
      <c r="D166" s="6">
        <v>931000</v>
      </c>
      <c r="E166" s="6">
        <v>941000</v>
      </c>
      <c r="F166" s="6">
        <v>147466</v>
      </c>
      <c r="G166" s="6">
        <v>137911863500</v>
      </c>
      <c r="H166" s="6">
        <f t="shared" si="20"/>
        <v>886000</v>
      </c>
      <c r="I166" s="6">
        <f t="shared" si="21"/>
        <v>913513.1870103206</v>
      </c>
      <c r="J166" s="6">
        <f t="shared" si="22"/>
        <v>931000</v>
      </c>
      <c r="K166" s="6"/>
      <c r="L166">
        <v>684000</v>
      </c>
      <c r="M166">
        <f t="shared" si="23"/>
        <v>764000</v>
      </c>
      <c r="N166">
        <f t="shared" si="24"/>
        <v>764000</v>
      </c>
      <c r="O166">
        <f t="shared" si="25"/>
        <v>684000</v>
      </c>
      <c r="P166">
        <f t="shared" si="26"/>
        <v>-684000</v>
      </c>
      <c r="Q166" s="30">
        <f>VLOOKUP(B166,Sheet2!$A$15:$G$380,5,FALSE)*S166/10</f>
        <v>0</v>
      </c>
      <c r="R166" s="30">
        <f>VLOOKUP(B166,Sheet2!$A$15:$G$380,7,FALSE)*S166/10</f>
        <v>0</v>
      </c>
      <c r="T166" s="33">
        <f t="shared" si="27"/>
        <v>-1</v>
      </c>
      <c r="U166" s="33">
        <f t="shared" si="28"/>
        <v>-1</v>
      </c>
    </row>
    <row r="167" spans="2:21" x14ac:dyDescent="0.3">
      <c r="B167" s="5">
        <v>45905</v>
      </c>
      <c r="C167" s="6">
        <v>920000</v>
      </c>
      <c r="D167" s="6">
        <v>920000</v>
      </c>
      <c r="E167" s="6">
        <v>931000</v>
      </c>
      <c r="F167" s="6">
        <v>193204</v>
      </c>
      <c r="G167" s="6">
        <v>178474494500</v>
      </c>
      <c r="H167" s="6">
        <f t="shared" si="20"/>
        <v>886000</v>
      </c>
      <c r="I167" s="6">
        <f t="shared" si="21"/>
        <v>918352.52712267661</v>
      </c>
      <c r="J167" s="6">
        <f t="shared" si="22"/>
        <v>920000</v>
      </c>
      <c r="K167" s="6"/>
      <c r="L167">
        <v>684000</v>
      </c>
      <c r="M167">
        <f t="shared" si="23"/>
        <v>762000</v>
      </c>
      <c r="N167">
        <f t="shared" si="24"/>
        <v>762000</v>
      </c>
      <c r="O167">
        <f t="shared" si="25"/>
        <v>684000</v>
      </c>
      <c r="P167">
        <f t="shared" si="26"/>
        <v>-684000</v>
      </c>
      <c r="Q167" s="30">
        <f>VLOOKUP(B167,Sheet2!$A$15:$G$380,5,FALSE)*S167/10</f>
        <v>0</v>
      </c>
      <c r="R167" s="30">
        <f>VLOOKUP(B167,Sheet2!$A$15:$G$380,7,FALSE)*S167/10</f>
        <v>0</v>
      </c>
      <c r="T167" s="33">
        <f t="shared" si="27"/>
        <v>-1</v>
      </c>
      <c r="U167" s="33">
        <f t="shared" si="28"/>
        <v>-1</v>
      </c>
    </row>
    <row r="168" spans="2:21" x14ac:dyDescent="0.3">
      <c r="B168" s="5">
        <v>45906</v>
      </c>
      <c r="C168" s="6">
        <v>920000</v>
      </c>
      <c r="D168" s="6">
        <v>920000</v>
      </c>
      <c r="E168" s="6">
        <v>931000</v>
      </c>
      <c r="F168" s="6">
        <v>193204</v>
      </c>
      <c r="G168" s="6">
        <v>178474494500</v>
      </c>
      <c r="H168" s="6">
        <f t="shared" si="20"/>
        <v>886000</v>
      </c>
      <c r="I168" s="6">
        <f t="shared" si="21"/>
        <v>923112.54772208817</v>
      </c>
      <c r="J168" s="6">
        <f t="shared" si="22"/>
        <v>920000</v>
      </c>
      <c r="K168" s="6"/>
      <c r="L168">
        <v>684000</v>
      </c>
      <c r="M168">
        <f t="shared" si="23"/>
        <v>763000</v>
      </c>
      <c r="N168">
        <f t="shared" si="24"/>
        <v>763000</v>
      </c>
      <c r="O168">
        <f t="shared" si="25"/>
        <v>684000</v>
      </c>
      <c r="P168">
        <f t="shared" si="26"/>
        <v>-684000</v>
      </c>
      <c r="Q168" s="30">
        <f>VLOOKUP(B168,Sheet2!$A$15:$G$380,5,FALSE)*S168/10</f>
        <v>0</v>
      </c>
      <c r="R168" s="30">
        <f>VLOOKUP(B168,Sheet2!$A$15:$G$380,7,FALSE)*S168/10</f>
        <v>0</v>
      </c>
      <c r="T168" s="33">
        <f t="shared" si="27"/>
        <v>-1</v>
      </c>
      <c r="U168" s="33">
        <f t="shared" si="28"/>
        <v>-1</v>
      </c>
    </row>
    <row r="169" spans="2:21" x14ac:dyDescent="0.3">
      <c r="B169" s="7">
        <v>45907</v>
      </c>
      <c r="C169" s="8">
        <v>920000</v>
      </c>
      <c r="D169" s="8">
        <v>920000</v>
      </c>
      <c r="E169" s="8">
        <v>931000</v>
      </c>
      <c r="F169" s="8">
        <v>193204</v>
      </c>
      <c r="G169" s="8">
        <v>178474494500</v>
      </c>
      <c r="H169" s="6">
        <f t="shared" si="20"/>
        <v>887000</v>
      </c>
      <c r="I169" s="6">
        <f t="shared" si="21"/>
        <v>927795.18309385015</v>
      </c>
      <c r="J169" s="6">
        <f t="shared" si="22"/>
        <v>920000</v>
      </c>
      <c r="K169" s="6"/>
      <c r="L169">
        <v>684000</v>
      </c>
      <c r="M169">
        <f t="shared" si="23"/>
        <v>765000</v>
      </c>
      <c r="N169">
        <f t="shared" si="24"/>
        <v>765000</v>
      </c>
      <c r="O169">
        <f t="shared" si="25"/>
        <v>684000</v>
      </c>
      <c r="P169">
        <f t="shared" si="26"/>
        <v>-684000</v>
      </c>
      <c r="Q169" s="30">
        <f>VLOOKUP(B169,Sheet2!$A$15:$G$380,5,FALSE)*S169/10</f>
        <v>0</v>
      </c>
      <c r="R169" s="30">
        <f>VLOOKUP(B169,Sheet2!$A$15:$G$380,7,FALSE)*S169/10</f>
        <v>0</v>
      </c>
      <c r="T169" s="33">
        <f t="shared" si="27"/>
        <v>-1</v>
      </c>
      <c r="U169" s="33">
        <f t="shared" si="28"/>
        <v>-1</v>
      </c>
    </row>
    <row r="170" spans="2:21" x14ac:dyDescent="0.3">
      <c r="B170" s="5">
        <v>45908</v>
      </c>
      <c r="C170" s="6">
        <v>951000</v>
      </c>
      <c r="D170" s="6">
        <v>951000</v>
      </c>
      <c r="E170" s="6">
        <v>920000</v>
      </c>
      <c r="F170" s="6">
        <v>176069</v>
      </c>
      <c r="G170" s="6">
        <v>166200138000</v>
      </c>
      <c r="H170" s="6">
        <f t="shared" si="20"/>
        <v>888000</v>
      </c>
      <c r="I170" s="6">
        <f t="shared" si="21"/>
        <v>931432.55019705731</v>
      </c>
      <c r="J170" s="6">
        <f t="shared" si="22"/>
        <v>951000</v>
      </c>
      <c r="K170" s="6"/>
      <c r="L170">
        <v>684000</v>
      </c>
      <c r="M170">
        <f t="shared" si="23"/>
        <v>775000</v>
      </c>
      <c r="N170">
        <f t="shared" si="24"/>
        <v>775000</v>
      </c>
      <c r="O170">
        <f t="shared" si="25"/>
        <v>684000</v>
      </c>
      <c r="P170">
        <f t="shared" si="26"/>
        <v>-684000</v>
      </c>
      <c r="Q170" s="30">
        <f>VLOOKUP(B170,Sheet2!$A$15:$G$380,5,FALSE)*S170/10</f>
        <v>0</v>
      </c>
      <c r="R170" s="30">
        <f>VLOOKUP(B170,Sheet2!$A$15:$G$380,7,FALSE)*S170/10</f>
        <v>0</v>
      </c>
      <c r="T170" s="33">
        <f t="shared" si="27"/>
        <v>-1</v>
      </c>
      <c r="U170" s="33">
        <f t="shared" si="28"/>
        <v>-1</v>
      </c>
    </row>
    <row r="171" spans="2:21" x14ac:dyDescent="0.3">
      <c r="B171" s="5">
        <v>45909</v>
      </c>
      <c r="C171" s="6">
        <v>945000</v>
      </c>
      <c r="D171" s="6">
        <v>945000</v>
      </c>
      <c r="E171" s="6">
        <v>951000</v>
      </c>
      <c r="F171" s="6">
        <v>164915</v>
      </c>
      <c r="G171" s="6">
        <v>155956136650</v>
      </c>
      <c r="H171" s="6">
        <f t="shared" si="20"/>
        <v>890000</v>
      </c>
      <c r="I171" s="6">
        <f t="shared" si="21"/>
        <v>933254.33297656476</v>
      </c>
      <c r="J171" s="6">
        <f t="shared" si="22"/>
        <v>945000</v>
      </c>
      <c r="K171" s="6"/>
      <c r="L171">
        <v>684000</v>
      </c>
      <c r="M171">
        <f t="shared" si="23"/>
        <v>774000</v>
      </c>
      <c r="N171">
        <f t="shared" si="24"/>
        <v>774000</v>
      </c>
      <c r="O171">
        <f t="shared" si="25"/>
        <v>684000</v>
      </c>
      <c r="P171">
        <f t="shared" si="26"/>
        <v>-684000</v>
      </c>
      <c r="Q171" s="30">
        <f>VLOOKUP(B171,Sheet2!$A$15:$G$380,5,FALSE)*S171/10</f>
        <v>0</v>
      </c>
      <c r="R171" s="30">
        <f>VLOOKUP(B171,Sheet2!$A$15:$G$380,7,FALSE)*S171/10</f>
        <v>0</v>
      </c>
      <c r="T171" s="33">
        <f t="shared" si="27"/>
        <v>-1</v>
      </c>
      <c r="U171" s="33">
        <f t="shared" si="28"/>
        <v>-1</v>
      </c>
    </row>
    <row r="172" spans="2:21" x14ac:dyDescent="0.3">
      <c r="B172" s="5">
        <v>45910</v>
      </c>
      <c r="C172" s="6">
        <v>967000</v>
      </c>
      <c r="D172" s="6">
        <v>967000</v>
      </c>
      <c r="E172" s="6">
        <v>945000</v>
      </c>
      <c r="F172" s="6">
        <v>229210</v>
      </c>
      <c r="G172" s="6">
        <v>222419744988</v>
      </c>
      <c r="H172" s="6">
        <f t="shared" si="20"/>
        <v>893000</v>
      </c>
      <c r="I172" s="6">
        <f t="shared" si="21"/>
        <v>938824.98553734296</v>
      </c>
      <c r="J172" s="6">
        <f t="shared" si="22"/>
        <v>967000</v>
      </c>
      <c r="K172" s="6"/>
      <c r="L172">
        <v>684000</v>
      </c>
      <c r="M172">
        <f t="shared" si="23"/>
        <v>783000</v>
      </c>
      <c r="N172">
        <f t="shared" si="24"/>
        <v>783000</v>
      </c>
      <c r="O172">
        <f t="shared" si="25"/>
        <v>684000</v>
      </c>
      <c r="P172">
        <f t="shared" si="26"/>
        <v>-684000</v>
      </c>
      <c r="Q172" s="30">
        <f>VLOOKUP(B172,Sheet2!$A$15:$G$380,5,FALSE)*S172/10</f>
        <v>0</v>
      </c>
      <c r="R172" s="30">
        <f>VLOOKUP(B172,Sheet2!$A$15:$G$380,7,FALSE)*S172/10</f>
        <v>0</v>
      </c>
      <c r="T172" s="33">
        <f t="shared" si="27"/>
        <v>-1</v>
      </c>
      <c r="U172" s="33">
        <f t="shared" si="28"/>
        <v>-1</v>
      </c>
    </row>
    <row r="173" spans="2:21" x14ac:dyDescent="0.3">
      <c r="B173" s="5">
        <v>45911</v>
      </c>
      <c r="C173" s="6">
        <v>1005000</v>
      </c>
      <c r="D173" s="6">
        <v>1005000</v>
      </c>
      <c r="E173" s="6">
        <v>967000</v>
      </c>
      <c r="F173" s="6">
        <v>298028</v>
      </c>
      <c r="G173" s="6">
        <v>297476760000</v>
      </c>
      <c r="H173" s="6">
        <f t="shared" si="20"/>
        <v>899000</v>
      </c>
      <c r="I173" s="6">
        <f t="shared" si="21"/>
        <v>951404.83172656537</v>
      </c>
      <c r="J173" s="6">
        <f t="shared" si="22"/>
        <v>1005000</v>
      </c>
      <c r="K173" s="6"/>
      <c r="L173">
        <v>684000</v>
      </c>
      <c r="M173">
        <f t="shared" si="23"/>
        <v>799000</v>
      </c>
      <c r="N173">
        <f t="shared" si="24"/>
        <v>799000</v>
      </c>
      <c r="O173">
        <f t="shared" si="25"/>
        <v>684000</v>
      </c>
      <c r="P173">
        <f t="shared" si="26"/>
        <v>-684000</v>
      </c>
      <c r="Q173" s="30">
        <f>VLOOKUP(B173,Sheet2!$A$15:$G$380,5,FALSE)*S173/10</f>
        <v>0</v>
      </c>
      <c r="R173" s="30">
        <f>VLOOKUP(B173,Sheet2!$A$15:$G$380,7,FALSE)*S173/10</f>
        <v>0</v>
      </c>
      <c r="T173" s="33">
        <f t="shared" si="27"/>
        <v>-1</v>
      </c>
      <c r="U173" s="33">
        <f t="shared" si="28"/>
        <v>-1</v>
      </c>
    </row>
    <row r="174" spans="2:21" x14ac:dyDescent="0.3">
      <c r="B174" s="7">
        <v>45912</v>
      </c>
      <c r="C174" s="8">
        <v>1002000</v>
      </c>
      <c r="D174" s="8">
        <v>1002000</v>
      </c>
      <c r="E174" s="8">
        <v>1005000</v>
      </c>
      <c r="F174" s="8">
        <v>169241</v>
      </c>
      <c r="G174" s="8">
        <v>169399142080</v>
      </c>
      <c r="H174" s="6">
        <f t="shared" si="20"/>
        <v>905000</v>
      </c>
      <c r="I174" s="6">
        <f t="shared" si="21"/>
        <v>961042.7564842602</v>
      </c>
      <c r="J174" s="6">
        <f t="shared" si="22"/>
        <v>1002000</v>
      </c>
      <c r="K174" s="6"/>
      <c r="L174">
        <v>684000</v>
      </c>
      <c r="M174">
        <f t="shared" si="23"/>
        <v>802000</v>
      </c>
      <c r="N174">
        <f t="shared" si="24"/>
        <v>802000</v>
      </c>
      <c r="O174">
        <f t="shared" si="25"/>
        <v>684000</v>
      </c>
      <c r="P174">
        <f t="shared" si="26"/>
        <v>-684000</v>
      </c>
      <c r="Q174" s="30">
        <f>VLOOKUP(B174,Sheet2!$A$15:$G$380,5,FALSE)*S174/10</f>
        <v>0</v>
      </c>
      <c r="R174" s="30">
        <f>VLOOKUP(B174,Sheet2!$A$15:$G$380,7,FALSE)*S174/10</f>
        <v>0</v>
      </c>
      <c r="T174" s="33">
        <f t="shared" si="27"/>
        <v>-1</v>
      </c>
      <c r="U174" s="33">
        <f t="shared" si="28"/>
        <v>-1</v>
      </c>
    </row>
    <row r="175" spans="2:21" x14ac:dyDescent="0.3">
      <c r="B175" s="5">
        <v>45913</v>
      </c>
      <c r="C175" s="6">
        <v>1002000</v>
      </c>
      <c r="D175" s="6">
        <v>1002000</v>
      </c>
      <c r="E175" s="6">
        <v>1005000</v>
      </c>
      <c r="F175" s="6">
        <v>169241</v>
      </c>
      <c r="G175" s="6">
        <v>169399142080</v>
      </c>
      <c r="H175" s="6">
        <f t="shared" si="20"/>
        <v>909000</v>
      </c>
      <c r="I175" s="6">
        <f t="shared" si="21"/>
        <v>971010.63662612112</v>
      </c>
      <c r="J175" s="6">
        <f t="shared" si="22"/>
        <v>1002000</v>
      </c>
      <c r="K175" s="6"/>
      <c r="L175">
        <v>684000</v>
      </c>
      <c r="M175">
        <f t="shared" si="23"/>
        <v>806000</v>
      </c>
      <c r="N175">
        <f t="shared" si="24"/>
        <v>806000</v>
      </c>
      <c r="O175">
        <f t="shared" si="25"/>
        <v>684000</v>
      </c>
      <c r="P175">
        <f t="shared" si="26"/>
        <v>-684000</v>
      </c>
      <c r="Q175" s="30">
        <f>VLOOKUP(B175,Sheet2!$A$15:$G$380,5,FALSE)*S175/10</f>
        <v>0</v>
      </c>
      <c r="R175" s="30">
        <f>VLOOKUP(B175,Sheet2!$A$15:$G$380,7,FALSE)*S175/10</f>
        <v>0</v>
      </c>
      <c r="T175" s="33">
        <f t="shared" si="27"/>
        <v>-1</v>
      </c>
      <c r="U175" s="33">
        <f t="shared" si="28"/>
        <v>-1</v>
      </c>
    </row>
    <row r="176" spans="2:21" x14ac:dyDescent="0.3">
      <c r="B176" s="5">
        <v>45914</v>
      </c>
      <c r="C176" s="6">
        <v>1002000</v>
      </c>
      <c r="D176" s="6">
        <v>1002000</v>
      </c>
      <c r="E176" s="6">
        <v>1005000</v>
      </c>
      <c r="F176" s="6">
        <v>169241</v>
      </c>
      <c r="G176" s="6">
        <v>169399142080</v>
      </c>
      <c r="H176" s="6">
        <f t="shared" si="20"/>
        <v>912000</v>
      </c>
      <c r="I176" s="6">
        <f t="shared" si="21"/>
        <v>981325.71133148496</v>
      </c>
      <c r="J176" s="6">
        <f t="shared" si="22"/>
        <v>1002000</v>
      </c>
      <c r="K176" s="6"/>
      <c r="L176">
        <v>684000</v>
      </c>
      <c r="M176">
        <f t="shared" si="23"/>
        <v>810000</v>
      </c>
      <c r="N176">
        <f t="shared" si="24"/>
        <v>810000</v>
      </c>
      <c r="O176">
        <f t="shared" si="25"/>
        <v>684000</v>
      </c>
      <c r="P176">
        <f t="shared" si="26"/>
        <v>-684000</v>
      </c>
      <c r="Q176" s="30">
        <f>VLOOKUP(B176,Sheet2!$A$15:$G$380,5,FALSE)*S176/10</f>
        <v>0</v>
      </c>
      <c r="R176" s="30">
        <f>VLOOKUP(B176,Sheet2!$A$15:$G$380,7,FALSE)*S176/10</f>
        <v>0</v>
      </c>
      <c r="T176" s="33">
        <f t="shared" si="27"/>
        <v>-1</v>
      </c>
      <c r="U176" s="33">
        <f t="shared" si="28"/>
        <v>-1</v>
      </c>
    </row>
    <row r="177" spans="2:21" x14ac:dyDescent="0.3">
      <c r="B177" s="5">
        <v>45915</v>
      </c>
      <c r="C177" s="6">
        <v>986000</v>
      </c>
      <c r="D177" s="6">
        <v>986000</v>
      </c>
      <c r="E177" s="6">
        <v>1002000</v>
      </c>
      <c r="F177" s="6">
        <v>143445</v>
      </c>
      <c r="G177" s="6">
        <v>142040897000</v>
      </c>
      <c r="H177" s="6">
        <f t="shared" si="20"/>
        <v>915000</v>
      </c>
      <c r="I177" s="6">
        <f t="shared" si="21"/>
        <v>987173.55336364126</v>
      </c>
      <c r="J177" s="6">
        <f t="shared" si="22"/>
        <v>986000</v>
      </c>
      <c r="K177" s="6"/>
      <c r="L177">
        <v>684000</v>
      </c>
      <c r="M177">
        <f t="shared" si="23"/>
        <v>808000</v>
      </c>
      <c r="N177">
        <f t="shared" si="24"/>
        <v>808000</v>
      </c>
      <c r="O177">
        <f t="shared" si="25"/>
        <v>684000</v>
      </c>
      <c r="P177">
        <f t="shared" si="26"/>
        <v>-684000</v>
      </c>
      <c r="Q177" s="30">
        <f>VLOOKUP(B177,Sheet2!$A$15:$G$380,5,FALSE)*S177/10</f>
        <v>0</v>
      </c>
      <c r="R177" s="30">
        <f>VLOOKUP(B177,Sheet2!$A$15:$G$380,7,FALSE)*S177/10</f>
        <v>0</v>
      </c>
      <c r="T177" s="33">
        <f t="shared" si="27"/>
        <v>-1</v>
      </c>
      <c r="U177" s="33">
        <f t="shared" si="28"/>
        <v>-1</v>
      </c>
    </row>
    <row r="178" spans="2:21" x14ac:dyDescent="0.3">
      <c r="B178" s="5">
        <v>45916</v>
      </c>
      <c r="C178" s="6">
        <v>1041000</v>
      </c>
      <c r="D178" s="6">
        <v>1041000</v>
      </c>
      <c r="E178" s="6">
        <v>986000</v>
      </c>
      <c r="F178" s="6">
        <v>226446</v>
      </c>
      <c r="G178" s="6">
        <v>231803605500</v>
      </c>
      <c r="H178" s="6">
        <f t="shared" si="20"/>
        <v>920000</v>
      </c>
      <c r="I178" s="6">
        <f t="shared" si="21"/>
        <v>997926.06888697168</v>
      </c>
      <c r="J178" s="6">
        <f t="shared" si="22"/>
        <v>1041000</v>
      </c>
      <c r="K178" s="6"/>
      <c r="L178">
        <v>684000</v>
      </c>
      <c r="M178">
        <f t="shared" si="23"/>
        <v>828000</v>
      </c>
      <c r="N178">
        <f t="shared" si="24"/>
        <v>828000</v>
      </c>
      <c r="O178">
        <f t="shared" si="25"/>
        <v>684000</v>
      </c>
      <c r="P178">
        <f t="shared" si="26"/>
        <v>-684000</v>
      </c>
      <c r="Q178" s="30">
        <f>VLOOKUP(B178,Sheet2!$A$15:$G$380,5,FALSE)*S178/10</f>
        <v>0</v>
      </c>
      <c r="R178" s="30">
        <f>VLOOKUP(B178,Sheet2!$A$15:$G$380,7,FALSE)*S178/10</f>
        <v>0</v>
      </c>
      <c r="T178" s="33">
        <f t="shared" si="27"/>
        <v>-1</v>
      </c>
      <c r="U178" s="33">
        <f t="shared" si="28"/>
        <v>-1</v>
      </c>
    </row>
    <row r="179" spans="2:21" x14ac:dyDescent="0.3">
      <c r="B179" s="7">
        <v>45917</v>
      </c>
      <c r="C179" s="8">
        <v>1030000</v>
      </c>
      <c r="D179" s="8">
        <v>1030000</v>
      </c>
      <c r="E179" s="8">
        <v>1041000</v>
      </c>
      <c r="F179" s="8">
        <v>202933</v>
      </c>
      <c r="G179" s="8">
        <v>208385766000</v>
      </c>
      <c r="H179" s="6">
        <f t="shared" si="20"/>
        <v>926000</v>
      </c>
      <c r="I179" s="6">
        <f t="shared" si="21"/>
        <v>1006767.4625899933</v>
      </c>
      <c r="J179" s="6">
        <f t="shared" si="22"/>
        <v>1030000</v>
      </c>
      <c r="K179" s="6"/>
      <c r="L179">
        <v>684000</v>
      </c>
      <c r="M179">
        <f t="shared" si="23"/>
        <v>829000</v>
      </c>
      <c r="N179">
        <f t="shared" si="24"/>
        <v>829000</v>
      </c>
      <c r="O179">
        <f t="shared" si="25"/>
        <v>684000</v>
      </c>
      <c r="P179">
        <f t="shared" si="26"/>
        <v>-684000</v>
      </c>
      <c r="Q179" s="30">
        <f>VLOOKUP(B179,Sheet2!$A$15:$G$380,5,FALSE)*S179/10</f>
        <v>0</v>
      </c>
      <c r="R179" s="30">
        <f>VLOOKUP(B179,Sheet2!$A$15:$G$380,7,FALSE)*S179/10</f>
        <v>0</v>
      </c>
      <c r="T179" s="33">
        <f t="shared" si="27"/>
        <v>-1</v>
      </c>
      <c r="U179" s="33">
        <f t="shared" si="28"/>
        <v>-1</v>
      </c>
    </row>
    <row r="180" spans="2:21" x14ac:dyDescent="0.3">
      <c r="B180" s="5">
        <v>45918</v>
      </c>
      <c r="C180" s="6">
        <v>1023000</v>
      </c>
      <c r="D180" s="6">
        <v>1023000</v>
      </c>
      <c r="E180" s="6">
        <v>1030000</v>
      </c>
      <c r="F180" s="6">
        <v>209665</v>
      </c>
      <c r="G180" s="6">
        <v>213757985644</v>
      </c>
      <c r="H180" s="6">
        <f t="shared" si="20"/>
        <v>933000</v>
      </c>
      <c r="I180" s="6">
        <f t="shared" si="21"/>
        <v>1010830.5304740616</v>
      </c>
      <c r="J180" s="6">
        <f t="shared" si="22"/>
        <v>1023000</v>
      </c>
      <c r="K180" s="6"/>
      <c r="L180">
        <v>684000</v>
      </c>
      <c r="M180">
        <f t="shared" si="23"/>
        <v>830000</v>
      </c>
      <c r="N180">
        <f t="shared" si="24"/>
        <v>830000</v>
      </c>
      <c r="O180">
        <f t="shared" si="25"/>
        <v>684000</v>
      </c>
      <c r="P180">
        <f t="shared" si="26"/>
        <v>-684000</v>
      </c>
      <c r="Q180" s="30">
        <f>VLOOKUP(B180,Sheet2!$A$15:$G$380,5,FALSE)*S180/10</f>
        <v>0</v>
      </c>
      <c r="R180" s="30">
        <f>VLOOKUP(B180,Sheet2!$A$15:$G$380,7,FALSE)*S180/10</f>
        <v>0</v>
      </c>
      <c r="T180" s="33">
        <f t="shared" si="27"/>
        <v>-1</v>
      </c>
      <c r="U180" s="33">
        <f t="shared" si="28"/>
        <v>-1</v>
      </c>
    </row>
    <row r="181" spans="2:21" x14ac:dyDescent="0.3">
      <c r="B181" s="5">
        <v>45919</v>
      </c>
      <c r="C181" s="6">
        <v>1022000</v>
      </c>
      <c r="D181" s="6">
        <v>1022000</v>
      </c>
      <c r="E181" s="6">
        <v>1023000</v>
      </c>
      <c r="F181" s="6">
        <v>363904</v>
      </c>
      <c r="G181" s="6">
        <v>372660454884</v>
      </c>
      <c r="H181" s="6">
        <f t="shared" si="20"/>
        <v>945000</v>
      </c>
      <c r="I181" s="6">
        <f t="shared" si="21"/>
        <v>1015201.2749813957</v>
      </c>
      <c r="J181" s="6">
        <f t="shared" si="22"/>
        <v>1022000</v>
      </c>
      <c r="K181" s="6"/>
      <c r="L181">
        <v>684000</v>
      </c>
      <c r="M181">
        <f t="shared" si="23"/>
        <v>834000</v>
      </c>
      <c r="N181">
        <f t="shared" si="24"/>
        <v>834000</v>
      </c>
      <c r="O181">
        <f t="shared" si="25"/>
        <v>684000</v>
      </c>
      <c r="P181">
        <f t="shared" si="26"/>
        <v>-684000</v>
      </c>
      <c r="Q181" s="30">
        <f>VLOOKUP(B181,Sheet2!$A$15:$G$380,5,FALSE)*S181/10</f>
        <v>0</v>
      </c>
      <c r="R181" s="30">
        <f>VLOOKUP(B181,Sheet2!$A$15:$G$380,7,FALSE)*S181/10</f>
        <v>0</v>
      </c>
      <c r="T181" s="33">
        <f t="shared" si="27"/>
        <v>-1</v>
      </c>
      <c r="U181" s="33">
        <f t="shared" si="28"/>
        <v>-1</v>
      </c>
    </row>
    <row r="182" spans="2:21" x14ac:dyDescent="0.3">
      <c r="B182" s="5">
        <v>45920</v>
      </c>
      <c r="C182" s="6">
        <v>1022000</v>
      </c>
      <c r="D182" s="6">
        <v>1022000</v>
      </c>
      <c r="E182" s="6">
        <v>1023000</v>
      </c>
      <c r="F182" s="6">
        <v>363904</v>
      </c>
      <c r="G182" s="6">
        <v>372660454884</v>
      </c>
      <c r="H182" s="6">
        <f t="shared" si="20"/>
        <v>952000</v>
      </c>
      <c r="I182" s="6">
        <f t="shared" si="21"/>
        <v>1018558.8572524111</v>
      </c>
      <c r="J182" s="6">
        <f t="shared" si="22"/>
        <v>1022000</v>
      </c>
      <c r="K182" s="6"/>
      <c r="L182">
        <v>684000</v>
      </c>
      <c r="M182">
        <f t="shared" si="23"/>
        <v>837000</v>
      </c>
      <c r="N182">
        <f t="shared" si="24"/>
        <v>837000</v>
      </c>
      <c r="O182">
        <f t="shared" si="25"/>
        <v>684000</v>
      </c>
      <c r="P182">
        <f t="shared" si="26"/>
        <v>-684000</v>
      </c>
      <c r="Q182" s="30">
        <f>VLOOKUP(B182,Sheet2!$A$15:$G$380,5,FALSE)*S182/10</f>
        <v>0</v>
      </c>
      <c r="R182" s="30">
        <f>VLOOKUP(B182,Sheet2!$A$15:$G$380,7,FALSE)*S182/10</f>
        <v>0</v>
      </c>
      <c r="T182" s="33">
        <f t="shared" si="27"/>
        <v>-1</v>
      </c>
      <c r="U182" s="33">
        <f t="shared" si="28"/>
        <v>-1</v>
      </c>
    </row>
    <row r="183" spans="2:21" x14ac:dyDescent="0.3">
      <c r="B183" s="5">
        <v>45921</v>
      </c>
      <c r="C183" s="6">
        <v>1022000</v>
      </c>
      <c r="D183" s="6">
        <v>1022000</v>
      </c>
      <c r="E183" s="6">
        <v>1023000</v>
      </c>
      <c r="F183" s="6">
        <v>363904</v>
      </c>
      <c r="G183" s="6">
        <v>372660454884</v>
      </c>
      <c r="H183" s="6">
        <f t="shared" si="20"/>
        <v>959000</v>
      </c>
      <c r="I183" s="6">
        <f t="shared" si="21"/>
        <v>1021218.9721358595</v>
      </c>
      <c r="J183" s="6">
        <f t="shared" si="22"/>
        <v>1022000</v>
      </c>
      <c r="K183" s="6"/>
      <c r="L183">
        <v>684000</v>
      </c>
      <c r="M183">
        <f t="shared" si="23"/>
        <v>840000</v>
      </c>
      <c r="N183">
        <f t="shared" si="24"/>
        <v>840000</v>
      </c>
      <c r="O183">
        <f t="shared" si="25"/>
        <v>684000</v>
      </c>
      <c r="P183">
        <f t="shared" si="26"/>
        <v>-684000</v>
      </c>
      <c r="Q183" s="30">
        <f>VLOOKUP(B183,Sheet2!$A$15:$G$380,5,FALSE)*S183/10</f>
        <v>0</v>
      </c>
      <c r="R183" s="30">
        <f>VLOOKUP(B183,Sheet2!$A$15:$G$380,7,FALSE)*S183/10</f>
        <v>0</v>
      </c>
      <c r="T183" s="33">
        <f t="shared" si="27"/>
        <v>-1</v>
      </c>
      <c r="U183" s="33">
        <f t="shared" si="28"/>
        <v>-1</v>
      </c>
    </row>
    <row r="184" spans="2:21" x14ac:dyDescent="0.3">
      <c r="B184" s="7">
        <v>45922</v>
      </c>
      <c r="C184" s="8">
        <v>1022000</v>
      </c>
      <c r="D184" s="8">
        <v>1022000</v>
      </c>
      <c r="E184" s="8">
        <v>1022000</v>
      </c>
      <c r="F184" s="8">
        <v>137450</v>
      </c>
      <c r="G184" s="8">
        <v>139266033500</v>
      </c>
      <c r="H184" s="6">
        <f t="shared" si="20"/>
        <v>964000</v>
      </c>
      <c r="I184" s="6">
        <f t="shared" si="21"/>
        <v>1023010.7147156149</v>
      </c>
      <c r="J184" s="6">
        <f t="shared" si="22"/>
        <v>1022000</v>
      </c>
      <c r="K184" s="6"/>
      <c r="L184">
        <v>684000</v>
      </c>
      <c r="M184">
        <f t="shared" si="23"/>
        <v>842000</v>
      </c>
      <c r="N184">
        <f t="shared" si="24"/>
        <v>842000</v>
      </c>
      <c r="O184">
        <f t="shared" si="25"/>
        <v>684000</v>
      </c>
      <c r="P184">
        <f t="shared" si="26"/>
        <v>-684000</v>
      </c>
      <c r="Q184" s="30">
        <f>VLOOKUP(B184,Sheet2!$A$15:$G$380,5,FALSE)*S184/10</f>
        <v>0</v>
      </c>
      <c r="R184" s="30">
        <f>VLOOKUP(B184,Sheet2!$A$15:$G$380,7,FALSE)*S184/10</f>
        <v>0</v>
      </c>
      <c r="T184" s="33">
        <f t="shared" si="27"/>
        <v>-1</v>
      </c>
      <c r="U184" s="33">
        <f t="shared" si="28"/>
        <v>-1</v>
      </c>
    </row>
    <row r="185" spans="2:21" x14ac:dyDescent="0.3">
      <c r="B185" s="5">
        <v>45923</v>
      </c>
      <c r="C185" s="6">
        <v>1004000</v>
      </c>
      <c r="D185" s="6">
        <v>1004000</v>
      </c>
      <c r="E185" s="6">
        <v>1022000</v>
      </c>
      <c r="F185" s="6">
        <v>148757</v>
      </c>
      <c r="G185" s="6">
        <v>150166828000</v>
      </c>
      <c r="H185" s="6">
        <f t="shared" si="20"/>
        <v>968000</v>
      </c>
      <c r="I185" s="6">
        <f t="shared" si="21"/>
        <v>1021804.3044528479</v>
      </c>
      <c r="J185" s="6">
        <f t="shared" si="22"/>
        <v>1004000</v>
      </c>
      <c r="K185" s="6"/>
      <c r="L185">
        <v>684000</v>
      </c>
      <c r="M185">
        <f t="shared" si="23"/>
        <v>837000</v>
      </c>
      <c r="N185">
        <f t="shared" si="24"/>
        <v>837000</v>
      </c>
      <c r="O185">
        <f t="shared" si="25"/>
        <v>684000</v>
      </c>
      <c r="P185">
        <f t="shared" si="26"/>
        <v>-684000</v>
      </c>
      <c r="Q185" s="30">
        <f>VLOOKUP(B185,Sheet2!$A$15:$G$380,5,FALSE)*S185/10</f>
        <v>0</v>
      </c>
      <c r="R185" s="30">
        <f>VLOOKUP(B185,Sheet2!$A$15:$G$380,7,FALSE)*S185/10</f>
        <v>0</v>
      </c>
      <c r="T185" s="33">
        <f t="shared" si="27"/>
        <v>-1</v>
      </c>
      <c r="U185" s="33">
        <f t="shared" si="28"/>
        <v>-1</v>
      </c>
    </row>
    <row r="186" spans="2:21" x14ac:dyDescent="0.3">
      <c r="B186" s="5">
        <v>45924</v>
      </c>
      <c r="C186" s="6">
        <v>1058000</v>
      </c>
      <c r="D186" s="6">
        <v>1058000</v>
      </c>
      <c r="E186" s="6">
        <v>1004000</v>
      </c>
      <c r="F186" s="6">
        <v>295040</v>
      </c>
      <c r="G186" s="6">
        <v>309434253500</v>
      </c>
      <c r="H186" s="6">
        <f t="shared" si="20"/>
        <v>974000</v>
      </c>
      <c r="I186" s="6">
        <f t="shared" si="21"/>
        <v>1025487.0145584036</v>
      </c>
      <c r="J186" s="6">
        <f t="shared" si="22"/>
        <v>1058000</v>
      </c>
      <c r="K186" s="6"/>
      <c r="L186">
        <v>684000</v>
      </c>
      <c r="M186">
        <f t="shared" si="23"/>
        <v>855000</v>
      </c>
      <c r="N186">
        <f t="shared" si="24"/>
        <v>855000</v>
      </c>
      <c r="O186">
        <f t="shared" si="25"/>
        <v>684000</v>
      </c>
      <c r="P186">
        <f t="shared" si="26"/>
        <v>-684000</v>
      </c>
      <c r="Q186" s="30">
        <f>VLOOKUP(B186,Sheet2!$A$15:$G$380,5,FALSE)*S186/10</f>
        <v>0</v>
      </c>
      <c r="R186" s="30">
        <f>VLOOKUP(B186,Sheet2!$A$15:$G$380,7,FALSE)*S186/10</f>
        <v>0</v>
      </c>
      <c r="T186" s="33">
        <f t="shared" si="27"/>
        <v>-1</v>
      </c>
      <c r="U186" s="33">
        <f t="shared" si="28"/>
        <v>-1</v>
      </c>
    </row>
    <row r="187" spans="2:21" x14ac:dyDescent="0.3">
      <c r="B187" s="5">
        <v>45925</v>
      </c>
      <c r="C187" s="6">
        <v>1048000</v>
      </c>
      <c r="D187" s="6">
        <v>1048000</v>
      </c>
      <c r="E187" s="6">
        <v>1058000</v>
      </c>
      <c r="F187" s="6">
        <v>209497</v>
      </c>
      <c r="G187" s="6">
        <v>222899025000</v>
      </c>
      <c r="H187" s="6">
        <f t="shared" si="20"/>
        <v>980000</v>
      </c>
      <c r="I187" s="6">
        <f t="shared" si="21"/>
        <v>1030434.4455604806</v>
      </c>
      <c r="J187" s="6">
        <f t="shared" si="22"/>
        <v>1048000</v>
      </c>
      <c r="K187" s="6"/>
      <c r="L187">
        <v>684000</v>
      </c>
      <c r="M187">
        <f t="shared" si="23"/>
        <v>856000</v>
      </c>
      <c r="N187">
        <f t="shared" si="24"/>
        <v>856000</v>
      </c>
      <c r="O187">
        <f t="shared" si="25"/>
        <v>684000</v>
      </c>
      <c r="P187">
        <f t="shared" si="26"/>
        <v>-684000</v>
      </c>
      <c r="Q187" s="30">
        <f>VLOOKUP(B187,Sheet2!$A$15:$G$380,5,FALSE)*S187/10</f>
        <v>0</v>
      </c>
      <c r="R187" s="30">
        <f>VLOOKUP(B187,Sheet2!$A$15:$G$380,7,FALSE)*S187/10</f>
        <v>0</v>
      </c>
      <c r="T187" s="33">
        <f t="shared" si="27"/>
        <v>-1</v>
      </c>
      <c r="U187" s="33">
        <f t="shared" si="28"/>
        <v>-1</v>
      </c>
    </row>
    <row r="188" spans="2:21" x14ac:dyDescent="0.3">
      <c r="B188" s="5">
        <v>45926</v>
      </c>
      <c r="C188" s="6">
        <v>1044000</v>
      </c>
      <c r="D188" s="6">
        <v>1044000</v>
      </c>
      <c r="E188" s="6">
        <v>1048000</v>
      </c>
      <c r="F188" s="6">
        <v>192038</v>
      </c>
      <c r="G188" s="6">
        <v>200768593756</v>
      </c>
      <c r="H188" s="6">
        <f t="shared" ref="H188:H251" si="29">CEILING(SUM(G159:G188)/SUM(F159:F188),1000)</f>
        <v>984000</v>
      </c>
      <c r="I188" s="6">
        <f t="shared" ref="I188:I251" si="30">SUM(G182:G188)/SUM(F182:F188)</f>
        <v>1033477.1298347354</v>
      </c>
      <c r="J188" s="6">
        <f t="shared" si="22"/>
        <v>1044000</v>
      </c>
      <c r="K188" s="6"/>
      <c r="L188">
        <v>684000</v>
      </c>
      <c r="M188">
        <f t="shared" si="23"/>
        <v>856000</v>
      </c>
      <c r="N188">
        <f t="shared" si="24"/>
        <v>856000</v>
      </c>
      <c r="O188">
        <f t="shared" si="25"/>
        <v>684000</v>
      </c>
      <c r="P188">
        <f t="shared" si="26"/>
        <v>-684000</v>
      </c>
      <c r="Q188" s="30">
        <f>VLOOKUP(B188,Sheet2!$A$15:$G$380,5,FALSE)*S188/10</f>
        <v>0</v>
      </c>
      <c r="R188" s="30">
        <f>VLOOKUP(B188,Sheet2!$A$15:$G$380,7,FALSE)*S188/10</f>
        <v>0</v>
      </c>
      <c r="T188" s="33">
        <f t="shared" si="27"/>
        <v>-1</v>
      </c>
      <c r="U188" s="33">
        <f t="shared" si="28"/>
        <v>-1</v>
      </c>
    </row>
    <row r="189" spans="2:21" x14ac:dyDescent="0.3">
      <c r="B189" s="7">
        <v>45927</v>
      </c>
      <c r="C189" s="8">
        <v>1044000</v>
      </c>
      <c r="D189" s="8">
        <v>1044000</v>
      </c>
      <c r="E189" s="8">
        <v>1048000</v>
      </c>
      <c r="F189" s="8">
        <v>192038</v>
      </c>
      <c r="G189" s="8">
        <v>200768593756</v>
      </c>
      <c r="H189" s="6">
        <f t="shared" si="29"/>
        <v>987000</v>
      </c>
      <c r="I189" s="6">
        <f t="shared" si="30"/>
        <v>1037199.5123205981</v>
      </c>
      <c r="J189" s="6">
        <f t="shared" si="22"/>
        <v>1044000</v>
      </c>
      <c r="K189" s="6"/>
      <c r="L189">
        <v>684000</v>
      </c>
      <c r="M189">
        <f t="shared" si="23"/>
        <v>858000</v>
      </c>
      <c r="N189">
        <f t="shared" si="24"/>
        <v>858000</v>
      </c>
      <c r="O189">
        <f t="shared" si="25"/>
        <v>684000</v>
      </c>
      <c r="P189">
        <f t="shared" si="26"/>
        <v>-684000</v>
      </c>
      <c r="Q189" s="30">
        <f>VLOOKUP(B189,Sheet2!$A$15:$G$380,5,FALSE)*S189/10</f>
        <v>0</v>
      </c>
      <c r="R189" s="30">
        <f>VLOOKUP(B189,Sheet2!$A$15:$G$380,7,FALSE)*S189/10</f>
        <v>0</v>
      </c>
      <c r="T189" s="33">
        <f t="shared" si="27"/>
        <v>-1</v>
      </c>
      <c r="U189" s="33">
        <f t="shared" si="28"/>
        <v>-1</v>
      </c>
    </row>
    <row r="190" spans="2:21" x14ac:dyDescent="0.3">
      <c r="B190" s="5">
        <v>45928</v>
      </c>
      <c r="C190" s="6">
        <v>1044000</v>
      </c>
      <c r="D190" s="6">
        <v>1044000</v>
      </c>
      <c r="E190" s="6">
        <v>1048000</v>
      </c>
      <c r="F190" s="6">
        <v>192038</v>
      </c>
      <c r="G190" s="6">
        <v>200768593756</v>
      </c>
      <c r="H190" s="6">
        <f t="shared" si="29"/>
        <v>992000</v>
      </c>
      <c r="I190" s="6">
        <f t="shared" si="30"/>
        <v>1041857.9847123842</v>
      </c>
      <c r="J190" s="6">
        <f t="shared" si="22"/>
        <v>1044000</v>
      </c>
      <c r="K190" s="6"/>
      <c r="L190">
        <v>684000</v>
      </c>
      <c r="M190">
        <f t="shared" si="23"/>
        <v>861000</v>
      </c>
      <c r="N190">
        <f t="shared" si="24"/>
        <v>861000</v>
      </c>
      <c r="O190">
        <f t="shared" si="25"/>
        <v>684000</v>
      </c>
      <c r="P190">
        <f t="shared" si="26"/>
        <v>-684000</v>
      </c>
      <c r="Q190" s="30">
        <f>VLOOKUP(B190,Sheet2!$A$15:$G$380,5,FALSE)*S190/10</f>
        <v>0</v>
      </c>
      <c r="R190" s="30">
        <f>VLOOKUP(B190,Sheet2!$A$15:$G$380,7,FALSE)*S190/10</f>
        <v>0</v>
      </c>
      <c r="T190" s="33">
        <f t="shared" si="27"/>
        <v>-1</v>
      </c>
      <c r="U190" s="33">
        <f t="shared" si="28"/>
        <v>-1</v>
      </c>
    </row>
    <row r="191" spans="2:21" x14ac:dyDescent="0.3">
      <c r="B191" s="5">
        <v>45929</v>
      </c>
      <c r="C191" s="6">
        <v>1059000</v>
      </c>
      <c r="D191" s="6">
        <v>1059000</v>
      </c>
      <c r="E191" s="6">
        <v>1044000</v>
      </c>
      <c r="F191" s="6">
        <v>124076</v>
      </c>
      <c r="G191" s="6">
        <v>130932483750</v>
      </c>
      <c r="H191" s="6">
        <f t="shared" si="29"/>
        <v>996000</v>
      </c>
      <c r="I191" s="6">
        <f t="shared" si="30"/>
        <v>1045995.6464339438</v>
      </c>
      <c r="J191" s="6">
        <f t="shared" si="22"/>
        <v>1059000</v>
      </c>
      <c r="K191" s="6"/>
      <c r="L191">
        <v>684000</v>
      </c>
      <c r="M191">
        <f t="shared" si="23"/>
        <v>867000</v>
      </c>
      <c r="N191">
        <f t="shared" si="24"/>
        <v>867000</v>
      </c>
      <c r="O191">
        <f t="shared" si="25"/>
        <v>684000</v>
      </c>
      <c r="P191">
        <f t="shared" si="26"/>
        <v>-684000</v>
      </c>
      <c r="Q191" s="30">
        <f>VLOOKUP(B191,Sheet2!$A$15:$G$380,5,FALSE)*S191/10</f>
        <v>0</v>
      </c>
      <c r="R191" s="30">
        <f>VLOOKUP(B191,Sheet2!$A$15:$G$380,7,FALSE)*S191/10</f>
        <v>0</v>
      </c>
      <c r="T191" s="33">
        <f t="shared" si="27"/>
        <v>-1</v>
      </c>
      <c r="U191" s="33">
        <f t="shared" si="28"/>
        <v>-1</v>
      </c>
    </row>
    <row r="192" spans="2:21" x14ac:dyDescent="0.3">
      <c r="B192" s="5">
        <v>45930</v>
      </c>
      <c r="C192" s="6">
        <v>1107000</v>
      </c>
      <c r="D192" s="6">
        <v>1107000</v>
      </c>
      <c r="E192" s="6">
        <v>1059000</v>
      </c>
      <c r="F192" s="6">
        <v>291287</v>
      </c>
      <c r="G192" s="6">
        <v>320694510000</v>
      </c>
      <c r="H192" s="6">
        <f t="shared" si="29"/>
        <v>1004000</v>
      </c>
      <c r="I192" s="6">
        <f t="shared" si="30"/>
        <v>1060328.3482093082</v>
      </c>
      <c r="J192" s="6">
        <f t="shared" si="22"/>
        <v>1107000</v>
      </c>
      <c r="K192" s="6"/>
      <c r="L192">
        <v>684000</v>
      </c>
      <c r="M192">
        <f t="shared" si="23"/>
        <v>887000</v>
      </c>
      <c r="N192">
        <f t="shared" si="24"/>
        <v>887000</v>
      </c>
      <c r="O192">
        <f t="shared" si="25"/>
        <v>684000</v>
      </c>
      <c r="P192">
        <f t="shared" si="26"/>
        <v>-684000</v>
      </c>
      <c r="Q192" s="30">
        <f>VLOOKUP(B192,Sheet2!$A$15:$G$380,5,FALSE)*S192/10</f>
        <v>0</v>
      </c>
      <c r="R192" s="30">
        <f>VLOOKUP(B192,Sheet2!$A$15:$G$380,7,FALSE)*S192/10</f>
        <v>0</v>
      </c>
      <c r="T192" s="33">
        <f t="shared" si="27"/>
        <v>-1</v>
      </c>
      <c r="U192" s="33">
        <f t="shared" si="28"/>
        <v>-1</v>
      </c>
    </row>
    <row r="193" spans="2:21" x14ac:dyDescent="0.3">
      <c r="B193" s="5">
        <v>45931</v>
      </c>
      <c r="C193" s="6">
        <v>1099000</v>
      </c>
      <c r="D193" s="6">
        <v>1099000</v>
      </c>
      <c r="E193" s="6">
        <v>1107000</v>
      </c>
      <c r="F193" s="6">
        <v>158652</v>
      </c>
      <c r="G193" s="6">
        <v>173734761500</v>
      </c>
      <c r="H193" s="6">
        <f t="shared" si="29"/>
        <v>1009000</v>
      </c>
      <c r="I193" s="6">
        <f t="shared" si="30"/>
        <v>1066886.4537144774</v>
      </c>
      <c r="J193" s="6">
        <f t="shared" si="22"/>
        <v>1099000</v>
      </c>
      <c r="K193" s="6"/>
      <c r="L193">
        <v>684000</v>
      </c>
      <c r="M193">
        <f t="shared" si="23"/>
        <v>888000</v>
      </c>
      <c r="N193">
        <f t="shared" si="24"/>
        <v>888000</v>
      </c>
      <c r="O193">
        <f t="shared" si="25"/>
        <v>684000</v>
      </c>
      <c r="P193">
        <f t="shared" si="26"/>
        <v>-684000</v>
      </c>
      <c r="Q193" s="30">
        <f>VLOOKUP(B193,Sheet2!$A$15:$G$380,5,FALSE)*S193/10</f>
        <v>0</v>
      </c>
      <c r="R193" s="30">
        <f>VLOOKUP(B193,Sheet2!$A$15:$G$380,7,FALSE)*S193/10</f>
        <v>0</v>
      </c>
      <c r="T193" s="33">
        <f t="shared" si="27"/>
        <v>-1</v>
      </c>
      <c r="U193" s="33">
        <f t="shared" si="28"/>
        <v>-1</v>
      </c>
    </row>
    <row r="194" spans="2:21" x14ac:dyDescent="0.3">
      <c r="B194" s="7">
        <v>45932</v>
      </c>
      <c r="C194" s="8">
        <v>1097000</v>
      </c>
      <c r="D194" s="8">
        <v>1097000</v>
      </c>
      <c r="E194" s="8">
        <v>1099000</v>
      </c>
      <c r="F194" s="8">
        <v>189175</v>
      </c>
      <c r="G194" s="8">
        <v>208002812500</v>
      </c>
      <c r="H194" s="6">
        <f t="shared" si="29"/>
        <v>1013000</v>
      </c>
      <c r="I194" s="6">
        <f t="shared" si="30"/>
        <v>1071952.5582078453</v>
      </c>
      <c r="J194" s="6">
        <f t="shared" si="22"/>
        <v>1097000</v>
      </c>
      <c r="K194" s="6"/>
      <c r="L194">
        <v>684000</v>
      </c>
      <c r="M194">
        <f t="shared" si="23"/>
        <v>890000</v>
      </c>
      <c r="N194">
        <f t="shared" si="24"/>
        <v>890000</v>
      </c>
      <c r="O194">
        <f t="shared" si="25"/>
        <v>684000</v>
      </c>
      <c r="P194">
        <f t="shared" si="26"/>
        <v>-684000</v>
      </c>
      <c r="Q194" s="30">
        <f>VLOOKUP(B194,Sheet2!$A$15:$G$380,5,FALSE)*S194/10</f>
        <v>0</v>
      </c>
      <c r="R194" s="30">
        <f>VLOOKUP(B194,Sheet2!$A$15:$G$380,7,FALSE)*S194/10</f>
        <v>0</v>
      </c>
      <c r="T194" s="33">
        <f t="shared" si="27"/>
        <v>-1</v>
      </c>
      <c r="U194" s="33">
        <f t="shared" si="28"/>
        <v>-1</v>
      </c>
    </row>
    <row r="195" spans="2:21" x14ac:dyDescent="0.3">
      <c r="B195" s="5">
        <v>45933</v>
      </c>
      <c r="C195" s="6">
        <v>1097000</v>
      </c>
      <c r="D195" s="6">
        <v>1097000</v>
      </c>
      <c r="E195" s="6">
        <v>1099000</v>
      </c>
      <c r="F195" s="6">
        <v>189175</v>
      </c>
      <c r="G195" s="6">
        <v>208002812500</v>
      </c>
      <c r="H195" s="6">
        <f t="shared" si="29"/>
        <v>1017000</v>
      </c>
      <c r="I195" s="6">
        <f t="shared" si="30"/>
        <v>1079662.0036065939</v>
      </c>
      <c r="J195" s="6">
        <f t="shared" si="22"/>
        <v>1097000</v>
      </c>
      <c r="K195" s="6"/>
      <c r="L195">
        <v>684000</v>
      </c>
      <c r="M195">
        <f t="shared" si="23"/>
        <v>893000</v>
      </c>
      <c r="N195">
        <f t="shared" si="24"/>
        <v>893000</v>
      </c>
      <c r="O195">
        <f t="shared" si="25"/>
        <v>684000</v>
      </c>
      <c r="P195">
        <f t="shared" si="26"/>
        <v>-684000</v>
      </c>
      <c r="Q195" s="30">
        <f>VLOOKUP(B195,Sheet2!$A$15:$G$380,5,FALSE)*S195/10</f>
        <v>0</v>
      </c>
      <c r="R195" s="30">
        <f>VLOOKUP(B195,Sheet2!$A$15:$G$380,7,FALSE)*S195/10</f>
        <v>0</v>
      </c>
      <c r="T195" s="33">
        <f t="shared" si="27"/>
        <v>-1</v>
      </c>
      <c r="U195" s="33">
        <f t="shared" si="28"/>
        <v>-1</v>
      </c>
    </row>
    <row r="196" spans="2:21" x14ac:dyDescent="0.3">
      <c r="B196" s="5">
        <v>45934</v>
      </c>
      <c r="C196" s="6">
        <v>1097000</v>
      </c>
      <c r="D196" s="6">
        <v>1097000</v>
      </c>
      <c r="E196" s="6">
        <v>1099000</v>
      </c>
      <c r="F196" s="6">
        <v>189175</v>
      </c>
      <c r="G196" s="6">
        <v>208002812500</v>
      </c>
      <c r="H196" s="6">
        <f t="shared" si="29"/>
        <v>1022000</v>
      </c>
      <c r="I196" s="6">
        <f t="shared" si="30"/>
        <v>1087404.551144365</v>
      </c>
      <c r="J196" s="6">
        <f t="shared" si="22"/>
        <v>1097000</v>
      </c>
      <c r="K196" s="6"/>
      <c r="L196">
        <v>684000</v>
      </c>
      <c r="M196">
        <f t="shared" si="23"/>
        <v>897000</v>
      </c>
      <c r="N196">
        <f t="shared" si="24"/>
        <v>897000</v>
      </c>
      <c r="O196">
        <f t="shared" si="25"/>
        <v>684000</v>
      </c>
      <c r="P196">
        <f t="shared" si="26"/>
        <v>-684000</v>
      </c>
      <c r="Q196" s="30">
        <f>VLOOKUP(B196,Sheet2!$A$15:$G$380,5,FALSE)*S196/10</f>
        <v>0</v>
      </c>
      <c r="R196" s="30">
        <f>VLOOKUP(B196,Sheet2!$A$15:$G$380,7,FALSE)*S196/10</f>
        <v>0</v>
      </c>
      <c r="T196" s="33">
        <f t="shared" si="27"/>
        <v>-1</v>
      </c>
      <c r="U196" s="33">
        <f t="shared" si="28"/>
        <v>-1</v>
      </c>
    </row>
    <row r="197" spans="2:21" x14ac:dyDescent="0.3">
      <c r="B197" s="5">
        <v>45935</v>
      </c>
      <c r="C197" s="6">
        <v>1097000</v>
      </c>
      <c r="D197" s="6">
        <v>1097000</v>
      </c>
      <c r="E197" s="6">
        <v>1099000</v>
      </c>
      <c r="F197" s="6">
        <v>189175</v>
      </c>
      <c r="G197" s="6">
        <v>208002812500</v>
      </c>
      <c r="H197" s="6">
        <f t="shared" si="29"/>
        <v>1027000</v>
      </c>
      <c r="I197" s="6">
        <f t="shared" si="30"/>
        <v>1095180.4144764282</v>
      </c>
      <c r="J197" s="6">
        <f t="shared" si="22"/>
        <v>1097000</v>
      </c>
      <c r="K197" s="6"/>
      <c r="L197">
        <v>684000</v>
      </c>
      <c r="M197">
        <f t="shared" si="23"/>
        <v>900000</v>
      </c>
      <c r="N197">
        <f t="shared" si="24"/>
        <v>900000</v>
      </c>
      <c r="O197">
        <f t="shared" si="25"/>
        <v>684000</v>
      </c>
      <c r="P197">
        <f t="shared" si="26"/>
        <v>-684000</v>
      </c>
      <c r="Q197" s="30">
        <f>VLOOKUP(B197,Sheet2!$A$15:$G$380,5,FALSE)*S197/10</f>
        <v>0</v>
      </c>
      <c r="R197" s="30">
        <f>VLOOKUP(B197,Sheet2!$A$15:$G$380,7,FALSE)*S197/10</f>
        <v>0</v>
      </c>
      <c r="T197" s="33">
        <f t="shared" si="27"/>
        <v>-1</v>
      </c>
      <c r="U197" s="33">
        <f t="shared" si="28"/>
        <v>-1</v>
      </c>
    </row>
    <row r="198" spans="2:21" x14ac:dyDescent="0.3">
      <c r="B198" s="5">
        <v>45936</v>
      </c>
      <c r="C198" s="6">
        <v>1097000</v>
      </c>
      <c r="D198" s="6">
        <v>1097000</v>
      </c>
      <c r="E198" s="6">
        <v>1099000</v>
      </c>
      <c r="F198" s="6">
        <v>189175</v>
      </c>
      <c r="G198" s="6">
        <v>208002812500</v>
      </c>
      <c r="H198" s="6">
        <f t="shared" si="29"/>
        <v>1032000</v>
      </c>
      <c r="I198" s="6">
        <f t="shared" si="30"/>
        <v>1099317.9134182634</v>
      </c>
      <c r="J198" s="6">
        <f t="shared" si="22"/>
        <v>1097000</v>
      </c>
      <c r="K198" s="6"/>
      <c r="L198">
        <v>684000</v>
      </c>
      <c r="M198">
        <f t="shared" si="23"/>
        <v>903000</v>
      </c>
      <c r="N198">
        <f t="shared" si="24"/>
        <v>903000</v>
      </c>
      <c r="O198">
        <f t="shared" si="25"/>
        <v>684000</v>
      </c>
      <c r="P198">
        <f t="shared" si="26"/>
        <v>-684000</v>
      </c>
      <c r="Q198" s="30">
        <f>VLOOKUP(B198,Sheet2!$A$15:$G$380,5,FALSE)*S198/10</f>
        <v>0</v>
      </c>
      <c r="R198" s="30">
        <f>VLOOKUP(B198,Sheet2!$A$15:$G$380,7,FALSE)*S198/10</f>
        <v>0</v>
      </c>
      <c r="T198" s="33">
        <f t="shared" si="27"/>
        <v>-1</v>
      </c>
      <c r="U198" s="33">
        <f t="shared" si="28"/>
        <v>-1</v>
      </c>
    </row>
    <row r="199" spans="2:21" x14ac:dyDescent="0.3">
      <c r="B199" s="7">
        <v>45937</v>
      </c>
      <c r="C199" s="8">
        <v>1097000</v>
      </c>
      <c r="D199" s="8">
        <v>1097000</v>
      </c>
      <c r="E199" s="8">
        <v>1099000</v>
      </c>
      <c r="F199" s="8">
        <v>189175</v>
      </c>
      <c r="G199" s="8">
        <v>208002812500</v>
      </c>
      <c r="H199" s="6">
        <f t="shared" si="29"/>
        <v>1038000</v>
      </c>
      <c r="I199" s="6">
        <f t="shared" si="30"/>
        <v>1098979.2367175748</v>
      </c>
      <c r="J199" s="6">
        <f t="shared" si="22"/>
        <v>1097000</v>
      </c>
      <c r="K199" s="6"/>
      <c r="L199">
        <v>684000</v>
      </c>
      <c r="M199">
        <f t="shared" si="23"/>
        <v>905000</v>
      </c>
      <c r="N199">
        <f t="shared" si="24"/>
        <v>905000</v>
      </c>
      <c r="O199">
        <f t="shared" si="25"/>
        <v>684000</v>
      </c>
      <c r="P199">
        <f t="shared" si="26"/>
        <v>-684000</v>
      </c>
      <c r="Q199" s="30">
        <f>VLOOKUP(B199,Sheet2!$A$15:$G$380,5,FALSE)*S199/10</f>
        <v>0</v>
      </c>
      <c r="R199" s="30">
        <f>VLOOKUP(B199,Sheet2!$A$15:$G$380,7,FALSE)*S199/10</f>
        <v>0</v>
      </c>
      <c r="T199" s="33">
        <f t="shared" si="27"/>
        <v>-1</v>
      </c>
      <c r="U199" s="33">
        <f t="shared" si="28"/>
        <v>-1</v>
      </c>
    </row>
    <row r="200" spans="2:21" x14ac:dyDescent="0.3">
      <c r="B200" s="5">
        <v>45938</v>
      </c>
      <c r="C200" s="6">
        <v>1097000</v>
      </c>
      <c r="D200" s="6">
        <v>1097000</v>
      </c>
      <c r="E200" s="6">
        <v>1099000</v>
      </c>
      <c r="F200" s="6">
        <v>189175</v>
      </c>
      <c r="G200" s="6">
        <v>208002812500</v>
      </c>
      <c r="H200" s="6">
        <f t="shared" si="29"/>
        <v>1042000</v>
      </c>
      <c r="I200" s="6">
        <f t="shared" si="30"/>
        <v>1099525.9019426457</v>
      </c>
      <c r="J200" s="6">
        <f t="shared" si="22"/>
        <v>1097000</v>
      </c>
      <c r="K200" s="6"/>
      <c r="L200">
        <v>684000</v>
      </c>
      <c r="M200">
        <f t="shared" si="23"/>
        <v>906000</v>
      </c>
      <c r="N200">
        <f t="shared" si="24"/>
        <v>906000</v>
      </c>
      <c r="O200">
        <f t="shared" si="25"/>
        <v>684000</v>
      </c>
      <c r="P200">
        <f t="shared" si="26"/>
        <v>-684000</v>
      </c>
      <c r="Q200" s="30">
        <f>VLOOKUP(B200,Sheet2!$A$15:$G$380,5,FALSE)*S200/10</f>
        <v>0</v>
      </c>
      <c r="R200" s="30">
        <f>VLOOKUP(B200,Sheet2!$A$15:$G$380,7,FALSE)*S200/10</f>
        <v>0</v>
      </c>
      <c r="T200" s="33">
        <f t="shared" si="27"/>
        <v>-1</v>
      </c>
      <c r="U200" s="33">
        <f t="shared" si="28"/>
        <v>-1</v>
      </c>
    </row>
    <row r="201" spans="2:21" x14ac:dyDescent="0.3">
      <c r="B201" s="5">
        <v>45939</v>
      </c>
      <c r="C201" s="6">
        <v>1097000</v>
      </c>
      <c r="D201" s="6">
        <v>1097000</v>
      </c>
      <c r="E201" s="6">
        <v>1099000</v>
      </c>
      <c r="F201" s="6">
        <v>189175</v>
      </c>
      <c r="G201" s="6">
        <v>208002812500</v>
      </c>
      <c r="H201" s="6">
        <f t="shared" si="29"/>
        <v>1046000</v>
      </c>
      <c r="I201" s="6">
        <f t="shared" si="30"/>
        <v>1099525.9019426457</v>
      </c>
      <c r="J201" s="6">
        <f t="shared" si="22"/>
        <v>1097000</v>
      </c>
      <c r="K201" s="6"/>
      <c r="L201">
        <v>684000</v>
      </c>
      <c r="M201">
        <f t="shared" si="23"/>
        <v>907000</v>
      </c>
      <c r="N201">
        <f t="shared" si="24"/>
        <v>907000</v>
      </c>
      <c r="O201">
        <f t="shared" si="25"/>
        <v>684000</v>
      </c>
      <c r="P201">
        <f t="shared" si="26"/>
        <v>-684000</v>
      </c>
      <c r="Q201" s="30">
        <f>VLOOKUP(B201,Sheet2!$A$15:$G$380,5,FALSE)*S201/10</f>
        <v>0</v>
      </c>
      <c r="R201" s="30">
        <f>VLOOKUP(B201,Sheet2!$A$15:$G$380,7,FALSE)*S201/10</f>
        <v>0</v>
      </c>
      <c r="T201" s="33">
        <f t="shared" si="27"/>
        <v>-1</v>
      </c>
      <c r="U201" s="33">
        <f t="shared" si="28"/>
        <v>-1</v>
      </c>
    </row>
    <row r="202" spans="2:21" x14ac:dyDescent="0.3">
      <c r="B202" s="5">
        <v>45940</v>
      </c>
      <c r="C202" s="6">
        <v>1042000</v>
      </c>
      <c r="D202" s="6">
        <v>1042000</v>
      </c>
      <c r="E202" s="6">
        <v>1097000</v>
      </c>
      <c r="F202" s="6">
        <v>290169</v>
      </c>
      <c r="G202" s="6">
        <v>303692957500</v>
      </c>
      <c r="H202" s="6">
        <f t="shared" si="29"/>
        <v>1049000</v>
      </c>
      <c r="I202" s="6">
        <f t="shared" si="30"/>
        <v>1088751.8567321934</v>
      </c>
      <c r="J202" s="6">
        <f t="shared" si="22"/>
        <v>1042000</v>
      </c>
      <c r="K202" s="6"/>
      <c r="L202">
        <v>684000</v>
      </c>
      <c r="M202">
        <f t="shared" si="23"/>
        <v>874000</v>
      </c>
      <c r="N202">
        <f t="shared" si="24"/>
        <v>874000</v>
      </c>
      <c r="O202">
        <f t="shared" si="25"/>
        <v>684000</v>
      </c>
      <c r="P202">
        <f t="shared" si="26"/>
        <v>-684000</v>
      </c>
      <c r="Q202" s="30">
        <f>VLOOKUP(B202,Sheet2!$A$15:$G$380,5,FALSE)*S202/10</f>
        <v>0</v>
      </c>
      <c r="R202" s="30">
        <f>VLOOKUP(B202,Sheet2!$A$15:$G$380,7,FALSE)*S202/10</f>
        <v>0</v>
      </c>
      <c r="T202" s="33">
        <f t="shared" si="27"/>
        <v>-1</v>
      </c>
      <c r="U202" s="33">
        <f t="shared" si="28"/>
        <v>-1</v>
      </c>
    </row>
    <row r="203" spans="2:21" x14ac:dyDescent="0.3">
      <c r="B203" s="5">
        <v>45941</v>
      </c>
      <c r="C203" s="6">
        <v>1042000</v>
      </c>
      <c r="D203" s="6">
        <v>1042000</v>
      </c>
      <c r="E203" s="6">
        <v>1097000</v>
      </c>
      <c r="F203" s="6">
        <v>290169</v>
      </c>
      <c r="G203" s="6">
        <v>303692957500</v>
      </c>
      <c r="H203" s="6">
        <f t="shared" si="29"/>
        <v>1051000</v>
      </c>
      <c r="I203" s="6">
        <f t="shared" si="30"/>
        <v>1079403.7119982596</v>
      </c>
      <c r="J203" s="6">
        <f t="shared" si="22"/>
        <v>1042000</v>
      </c>
      <c r="K203" s="6"/>
      <c r="L203">
        <v>684000</v>
      </c>
      <c r="M203">
        <f t="shared" si="23"/>
        <v>874000</v>
      </c>
      <c r="N203">
        <f t="shared" si="24"/>
        <v>874000</v>
      </c>
      <c r="O203">
        <f t="shared" si="25"/>
        <v>684000</v>
      </c>
      <c r="P203">
        <f t="shared" si="26"/>
        <v>-684000</v>
      </c>
      <c r="Q203" s="30">
        <f>VLOOKUP(B203,Sheet2!$A$15:$G$380,5,FALSE)*S203/10</f>
        <v>0</v>
      </c>
      <c r="R203" s="30">
        <f>VLOOKUP(B203,Sheet2!$A$15:$G$380,7,FALSE)*S203/10</f>
        <v>0</v>
      </c>
      <c r="T203" s="33">
        <f t="shared" si="27"/>
        <v>-1</v>
      </c>
      <c r="U203" s="33">
        <f t="shared" si="28"/>
        <v>-1</v>
      </c>
    </row>
    <row r="204" spans="2:21" x14ac:dyDescent="0.3">
      <c r="B204" s="7">
        <v>45942</v>
      </c>
      <c r="C204" s="8">
        <v>1042000</v>
      </c>
      <c r="D204" s="8">
        <v>1042000</v>
      </c>
      <c r="E204" s="8">
        <v>1097000</v>
      </c>
      <c r="F204" s="8">
        <v>290169</v>
      </c>
      <c r="G204" s="8">
        <v>303692957500</v>
      </c>
      <c r="H204" s="6">
        <f t="shared" si="29"/>
        <v>1052000</v>
      </c>
      <c r="I204" s="6">
        <f t="shared" si="30"/>
        <v>1071215.9685276675</v>
      </c>
      <c r="J204" s="6">
        <f t="shared" si="22"/>
        <v>1042000</v>
      </c>
      <c r="K204" s="6"/>
      <c r="L204">
        <v>684000</v>
      </c>
      <c r="M204">
        <f t="shared" si="23"/>
        <v>874000</v>
      </c>
      <c r="N204">
        <f t="shared" si="24"/>
        <v>874000</v>
      </c>
      <c r="O204">
        <f t="shared" si="25"/>
        <v>684000</v>
      </c>
      <c r="P204">
        <f t="shared" si="26"/>
        <v>-684000</v>
      </c>
      <c r="Q204" s="30">
        <f>VLOOKUP(B204,Sheet2!$A$15:$G$380,5,FALSE)*S204/10</f>
        <v>0</v>
      </c>
      <c r="R204" s="30">
        <f>VLOOKUP(B204,Sheet2!$A$15:$G$380,7,FALSE)*S204/10</f>
        <v>0</v>
      </c>
      <c r="T204" s="33">
        <f t="shared" si="27"/>
        <v>-1</v>
      </c>
      <c r="U204" s="33">
        <f t="shared" si="28"/>
        <v>-1</v>
      </c>
    </row>
    <row r="205" spans="2:21" x14ac:dyDescent="0.3">
      <c r="B205" s="5">
        <v>45943</v>
      </c>
      <c r="C205" s="6">
        <v>993000</v>
      </c>
      <c r="D205" s="6">
        <v>993000</v>
      </c>
      <c r="E205" s="6">
        <v>1042000</v>
      </c>
      <c r="F205" s="6">
        <v>183941</v>
      </c>
      <c r="G205" s="6">
        <v>185044750500</v>
      </c>
      <c r="H205" s="6">
        <f t="shared" si="29"/>
        <v>1053000</v>
      </c>
      <c r="I205" s="6">
        <f t="shared" si="30"/>
        <v>1060518.3073331059</v>
      </c>
      <c r="J205" s="6">
        <f t="shared" si="22"/>
        <v>993000</v>
      </c>
      <c r="K205" s="6"/>
      <c r="L205">
        <v>684000</v>
      </c>
      <c r="M205">
        <f t="shared" si="23"/>
        <v>833000</v>
      </c>
      <c r="N205">
        <f t="shared" si="24"/>
        <v>833000</v>
      </c>
      <c r="O205">
        <f t="shared" si="25"/>
        <v>684000</v>
      </c>
      <c r="P205">
        <f t="shared" si="26"/>
        <v>-684000</v>
      </c>
      <c r="Q205" s="30">
        <f>VLOOKUP(B205,Sheet2!$A$15:$G$380,5,FALSE)*S205/10</f>
        <v>0</v>
      </c>
      <c r="R205" s="30">
        <f>VLOOKUP(B205,Sheet2!$A$15:$G$380,7,FALSE)*S205/10</f>
        <v>0</v>
      </c>
      <c r="T205" s="33">
        <f t="shared" si="27"/>
        <v>-1</v>
      </c>
      <c r="U205" s="33">
        <f t="shared" si="28"/>
        <v>-1</v>
      </c>
    </row>
    <row r="206" spans="2:21" x14ac:dyDescent="0.3">
      <c r="B206" s="5">
        <v>45944</v>
      </c>
      <c r="C206" s="6">
        <v>933000</v>
      </c>
      <c r="D206" s="6">
        <v>933000</v>
      </c>
      <c r="E206" s="6">
        <v>993000</v>
      </c>
      <c r="F206" s="6">
        <v>318501</v>
      </c>
      <c r="G206" s="6">
        <v>303584270500</v>
      </c>
      <c r="H206" s="6">
        <f t="shared" si="29"/>
        <v>1049000</v>
      </c>
      <c r="I206" s="6">
        <f t="shared" si="30"/>
        <v>1036780.9942791037</v>
      </c>
      <c r="J206" s="6">
        <f t="shared" si="22"/>
        <v>933000</v>
      </c>
      <c r="K206" s="6"/>
      <c r="L206">
        <v>684000</v>
      </c>
      <c r="M206">
        <f t="shared" si="23"/>
        <v>783000</v>
      </c>
      <c r="N206">
        <f t="shared" si="24"/>
        <v>783000</v>
      </c>
      <c r="O206">
        <f t="shared" si="25"/>
        <v>684000</v>
      </c>
      <c r="P206">
        <f t="shared" si="26"/>
        <v>-684000</v>
      </c>
      <c r="Q206" s="30">
        <f>VLOOKUP(B206,Sheet2!$A$15:$G$380,5,FALSE)*S206/10</f>
        <v>0</v>
      </c>
      <c r="R206" s="30">
        <f>VLOOKUP(B206,Sheet2!$A$15:$G$380,7,FALSE)*S206/10</f>
        <v>0</v>
      </c>
      <c r="T206" s="33">
        <f t="shared" si="27"/>
        <v>-1</v>
      </c>
      <c r="U206" s="33">
        <f t="shared" si="28"/>
        <v>-1</v>
      </c>
    </row>
    <row r="207" spans="2:21" x14ac:dyDescent="0.3">
      <c r="B207" s="5">
        <v>45945</v>
      </c>
      <c r="C207" s="6">
        <v>954000</v>
      </c>
      <c r="D207" s="6">
        <v>954000</v>
      </c>
      <c r="E207" s="6">
        <v>933000</v>
      </c>
      <c r="F207" s="6">
        <v>329226</v>
      </c>
      <c r="G207" s="6">
        <v>310728018500</v>
      </c>
      <c r="H207" s="6">
        <f t="shared" si="29"/>
        <v>1045000</v>
      </c>
      <c r="I207" s="6">
        <f t="shared" si="30"/>
        <v>1014322.4281597801</v>
      </c>
      <c r="J207" s="6">
        <f t="shared" si="22"/>
        <v>954000</v>
      </c>
      <c r="K207" s="6"/>
      <c r="L207">
        <v>684000</v>
      </c>
      <c r="M207">
        <f t="shared" si="23"/>
        <v>801000</v>
      </c>
      <c r="N207">
        <f t="shared" si="24"/>
        <v>801000</v>
      </c>
      <c r="O207">
        <f t="shared" si="25"/>
        <v>684000</v>
      </c>
      <c r="P207">
        <f t="shared" si="26"/>
        <v>-684000</v>
      </c>
      <c r="Q207" s="30">
        <f>VLOOKUP(B207,Sheet2!$A$15:$G$380,5,FALSE)*S207/10</f>
        <v>0</v>
      </c>
      <c r="R207" s="30">
        <f>VLOOKUP(B207,Sheet2!$A$15:$G$380,7,FALSE)*S207/10</f>
        <v>0</v>
      </c>
      <c r="T207" s="33">
        <f t="shared" si="27"/>
        <v>-1</v>
      </c>
      <c r="U207" s="33">
        <f t="shared" si="28"/>
        <v>-1</v>
      </c>
    </row>
    <row r="208" spans="2:21" x14ac:dyDescent="0.3">
      <c r="B208" s="5">
        <v>45946</v>
      </c>
      <c r="C208" s="6">
        <v>936000</v>
      </c>
      <c r="D208" s="6">
        <v>936000</v>
      </c>
      <c r="E208" s="6">
        <v>954000</v>
      </c>
      <c r="F208" s="6">
        <v>184356</v>
      </c>
      <c r="G208" s="6">
        <v>173876270500</v>
      </c>
      <c r="H208" s="6">
        <f t="shared" si="29"/>
        <v>1043000</v>
      </c>
      <c r="I208" s="6">
        <f t="shared" si="30"/>
        <v>998823.86374779954</v>
      </c>
      <c r="J208" s="6">
        <f t="shared" si="22"/>
        <v>936000</v>
      </c>
      <c r="K208" s="6"/>
      <c r="L208">
        <v>684000</v>
      </c>
      <c r="M208">
        <f t="shared" si="23"/>
        <v>786000</v>
      </c>
      <c r="N208">
        <f t="shared" si="24"/>
        <v>786000</v>
      </c>
      <c r="O208">
        <f t="shared" si="25"/>
        <v>684000</v>
      </c>
      <c r="P208">
        <f t="shared" si="26"/>
        <v>-684000</v>
      </c>
      <c r="Q208" s="30">
        <f>VLOOKUP(B208,Sheet2!$A$15:$G$380,5,FALSE)*S208/10</f>
        <v>0</v>
      </c>
      <c r="R208" s="30">
        <f>VLOOKUP(B208,Sheet2!$A$15:$G$380,7,FALSE)*S208/10</f>
        <v>0</v>
      </c>
      <c r="T208" s="33">
        <f t="shared" si="27"/>
        <v>-1</v>
      </c>
      <c r="U208" s="33">
        <f t="shared" si="28"/>
        <v>-1</v>
      </c>
    </row>
    <row r="209" spans="2:21" x14ac:dyDescent="0.3">
      <c r="B209" s="7">
        <v>45947</v>
      </c>
      <c r="C209" s="8">
        <v>912000</v>
      </c>
      <c r="D209" s="8">
        <v>912000</v>
      </c>
      <c r="E209" s="8">
        <v>936000</v>
      </c>
      <c r="F209" s="8">
        <v>184363</v>
      </c>
      <c r="G209" s="8">
        <v>169308636000</v>
      </c>
      <c r="H209" s="6">
        <f t="shared" si="29"/>
        <v>1040000</v>
      </c>
      <c r="I209" s="6">
        <f t="shared" si="30"/>
        <v>982705.28071431583</v>
      </c>
      <c r="J209" s="6">
        <f t="shared" si="22"/>
        <v>912000</v>
      </c>
      <c r="K209" s="6"/>
      <c r="L209">
        <v>684000</v>
      </c>
      <c r="M209">
        <f t="shared" si="23"/>
        <v>765000</v>
      </c>
      <c r="N209">
        <f t="shared" si="24"/>
        <v>765000</v>
      </c>
      <c r="O209">
        <f t="shared" si="25"/>
        <v>684000</v>
      </c>
      <c r="P209">
        <f t="shared" si="26"/>
        <v>-684000</v>
      </c>
      <c r="Q209" s="30">
        <f>VLOOKUP(B209,Sheet2!$A$15:$G$380,5,FALSE)*S209/10</f>
        <v>0</v>
      </c>
      <c r="R209" s="30">
        <f>VLOOKUP(B209,Sheet2!$A$15:$G$380,7,FALSE)*S209/10</f>
        <v>0</v>
      </c>
      <c r="T209" s="33">
        <f t="shared" si="27"/>
        <v>-1</v>
      </c>
      <c r="U209" s="33">
        <f t="shared" si="28"/>
        <v>-1</v>
      </c>
    </row>
    <row r="210" spans="2:21" x14ac:dyDescent="0.3">
      <c r="B210" s="5">
        <v>45948</v>
      </c>
      <c r="C210" s="6">
        <v>912000</v>
      </c>
      <c r="D210" s="6">
        <v>912000</v>
      </c>
      <c r="E210" s="6">
        <v>936000</v>
      </c>
      <c r="F210" s="6">
        <v>184363</v>
      </c>
      <c r="G210" s="6">
        <v>169308636000</v>
      </c>
      <c r="H210" s="6">
        <f t="shared" si="29"/>
        <v>1038000</v>
      </c>
      <c r="I210" s="6">
        <f t="shared" si="30"/>
        <v>964550.24959415942</v>
      </c>
      <c r="J210" s="6">
        <f t="shared" si="22"/>
        <v>912000</v>
      </c>
      <c r="K210" s="6"/>
      <c r="L210">
        <v>684000</v>
      </c>
      <c r="M210">
        <f t="shared" si="23"/>
        <v>765000</v>
      </c>
      <c r="N210">
        <f t="shared" si="24"/>
        <v>765000</v>
      </c>
      <c r="O210">
        <f t="shared" si="25"/>
        <v>684000</v>
      </c>
      <c r="P210">
        <f t="shared" si="26"/>
        <v>-684000</v>
      </c>
      <c r="Q210" s="30">
        <f>VLOOKUP(B210,Sheet2!$A$15:$G$380,5,FALSE)*S210/10</f>
        <v>0</v>
      </c>
      <c r="R210" s="30">
        <f>VLOOKUP(B210,Sheet2!$A$15:$G$380,7,FALSE)*S210/10</f>
        <v>0</v>
      </c>
      <c r="T210" s="33">
        <f t="shared" si="27"/>
        <v>-1</v>
      </c>
      <c r="U210" s="33">
        <f t="shared" si="28"/>
        <v>-1</v>
      </c>
    </row>
    <row r="211" spans="2:21" x14ac:dyDescent="0.3">
      <c r="B211" s="5">
        <v>45949</v>
      </c>
      <c r="C211" s="6">
        <v>912000</v>
      </c>
      <c r="D211" s="6">
        <v>912000</v>
      </c>
      <c r="E211" s="6">
        <v>936000</v>
      </c>
      <c r="F211" s="6">
        <v>184363</v>
      </c>
      <c r="G211" s="6">
        <v>169308636000</v>
      </c>
      <c r="H211" s="6">
        <f t="shared" si="29"/>
        <v>1035000</v>
      </c>
      <c r="I211" s="6">
        <f t="shared" si="30"/>
        <v>943946.81453789503</v>
      </c>
      <c r="J211" s="6">
        <f t="shared" si="22"/>
        <v>912000</v>
      </c>
      <c r="K211" s="6"/>
      <c r="L211">
        <v>684000</v>
      </c>
      <c r="M211">
        <f t="shared" si="23"/>
        <v>765000</v>
      </c>
      <c r="N211">
        <f t="shared" si="24"/>
        <v>765000</v>
      </c>
      <c r="O211">
        <f t="shared" si="25"/>
        <v>684000</v>
      </c>
      <c r="P211">
        <f t="shared" si="26"/>
        <v>-684000</v>
      </c>
      <c r="Q211" s="30">
        <f>VLOOKUP(B211,Sheet2!$A$15:$G$380,5,FALSE)*S211/10</f>
        <v>0</v>
      </c>
      <c r="R211" s="30">
        <f>VLOOKUP(B211,Sheet2!$A$15:$G$380,7,FALSE)*S211/10</f>
        <v>0</v>
      </c>
      <c r="T211" s="33">
        <f t="shared" si="27"/>
        <v>-1</v>
      </c>
      <c r="U211" s="33">
        <f t="shared" si="28"/>
        <v>-1</v>
      </c>
    </row>
    <row r="212" spans="2:21" x14ac:dyDescent="0.3">
      <c r="B212" s="5">
        <v>45950</v>
      </c>
      <c r="C212" s="6">
        <v>953000</v>
      </c>
      <c r="D212" s="6">
        <v>953000</v>
      </c>
      <c r="E212" s="6">
        <v>912000</v>
      </c>
      <c r="F212" s="6">
        <v>196306</v>
      </c>
      <c r="G212" s="6">
        <v>185547512000</v>
      </c>
      <c r="H212" s="6">
        <f t="shared" si="29"/>
        <v>1033000</v>
      </c>
      <c r="I212" s="6">
        <f t="shared" si="30"/>
        <v>936884.34458146116</v>
      </c>
      <c r="J212" s="6">
        <f t="shared" si="22"/>
        <v>953000</v>
      </c>
      <c r="K212" s="6"/>
      <c r="L212">
        <v>684000</v>
      </c>
      <c r="M212">
        <f t="shared" si="23"/>
        <v>800000</v>
      </c>
      <c r="N212">
        <f t="shared" si="24"/>
        <v>800000</v>
      </c>
      <c r="O212">
        <f t="shared" si="25"/>
        <v>684000</v>
      </c>
      <c r="P212">
        <f t="shared" si="26"/>
        <v>-684000</v>
      </c>
      <c r="Q212" s="30">
        <f>VLOOKUP(B212,Sheet2!$A$15:$G$380,5,FALSE)*S212/10</f>
        <v>0</v>
      </c>
      <c r="R212" s="30">
        <f>VLOOKUP(B212,Sheet2!$A$15:$G$380,7,FALSE)*S212/10</f>
        <v>0</v>
      </c>
      <c r="T212" s="33">
        <f t="shared" si="27"/>
        <v>-1</v>
      </c>
      <c r="U212" s="33">
        <f t="shared" si="28"/>
        <v>-1</v>
      </c>
    </row>
    <row r="213" spans="2:21" x14ac:dyDescent="0.3">
      <c r="B213" s="5">
        <v>45951</v>
      </c>
      <c r="C213" s="6">
        <v>974000</v>
      </c>
      <c r="D213" s="6">
        <v>974000</v>
      </c>
      <c r="E213" s="6">
        <v>953000</v>
      </c>
      <c r="F213" s="6">
        <v>247903</v>
      </c>
      <c r="G213" s="6">
        <v>242280831068</v>
      </c>
      <c r="H213" s="6">
        <f t="shared" si="29"/>
        <v>1031000</v>
      </c>
      <c r="I213" s="6">
        <f t="shared" si="30"/>
        <v>940086.92951657309</v>
      </c>
      <c r="J213" s="6">
        <f t="shared" si="22"/>
        <v>974000</v>
      </c>
      <c r="K213" s="6"/>
      <c r="L213">
        <v>684000</v>
      </c>
      <c r="M213">
        <f t="shared" si="23"/>
        <v>817000</v>
      </c>
      <c r="N213">
        <f t="shared" si="24"/>
        <v>817000</v>
      </c>
      <c r="O213">
        <f t="shared" si="25"/>
        <v>684000</v>
      </c>
      <c r="P213">
        <f t="shared" si="26"/>
        <v>-684000</v>
      </c>
      <c r="Q213" s="30">
        <f>VLOOKUP(B213,Sheet2!$A$15:$G$380,5,FALSE)*S213/10</f>
        <v>0</v>
      </c>
      <c r="R213" s="30">
        <f>VLOOKUP(B213,Sheet2!$A$15:$G$380,7,FALSE)*S213/10</f>
        <v>0</v>
      </c>
      <c r="T213" s="33">
        <f t="shared" si="27"/>
        <v>-1</v>
      </c>
      <c r="U213" s="33">
        <f t="shared" si="28"/>
        <v>-1</v>
      </c>
    </row>
    <row r="214" spans="2:21" x14ac:dyDescent="0.3">
      <c r="B214" s="7">
        <v>45952</v>
      </c>
      <c r="C214" s="8">
        <v>1007000</v>
      </c>
      <c r="D214" s="8">
        <v>1007000</v>
      </c>
      <c r="E214" s="8">
        <v>974000</v>
      </c>
      <c r="F214" s="8">
        <v>256790</v>
      </c>
      <c r="G214" s="8">
        <v>258189711500</v>
      </c>
      <c r="H214" s="6">
        <f t="shared" si="29"/>
        <v>1031000</v>
      </c>
      <c r="I214" s="6">
        <f t="shared" si="30"/>
        <v>950902.66501024715</v>
      </c>
      <c r="J214" s="6">
        <f t="shared" si="22"/>
        <v>1007000</v>
      </c>
      <c r="K214" s="6"/>
      <c r="L214">
        <v>684000</v>
      </c>
      <c r="M214">
        <f t="shared" si="23"/>
        <v>836000</v>
      </c>
      <c r="N214">
        <f t="shared" si="24"/>
        <v>836000</v>
      </c>
      <c r="O214">
        <f t="shared" si="25"/>
        <v>684000</v>
      </c>
      <c r="P214">
        <f t="shared" si="26"/>
        <v>-684000</v>
      </c>
      <c r="Q214" s="30">
        <f>VLOOKUP(B214,Sheet2!$A$15:$G$380,5,FALSE)*S214/10</f>
        <v>0</v>
      </c>
      <c r="R214" s="30">
        <f>VLOOKUP(B214,Sheet2!$A$15:$G$380,7,FALSE)*S214/10</f>
        <v>0</v>
      </c>
      <c r="T214" s="33">
        <f t="shared" si="27"/>
        <v>-1</v>
      </c>
      <c r="U214" s="33">
        <f t="shared" si="28"/>
        <v>-1</v>
      </c>
    </row>
    <row r="215" spans="2:21" x14ac:dyDescent="0.3">
      <c r="B215" s="5">
        <v>45953</v>
      </c>
      <c r="C215" s="6">
        <v>1049000</v>
      </c>
      <c r="D215" s="6">
        <v>1049000</v>
      </c>
      <c r="E215" s="6">
        <v>1007000</v>
      </c>
      <c r="F215" s="6">
        <v>284405</v>
      </c>
      <c r="G215" s="6">
        <v>296415124000</v>
      </c>
      <c r="H215" s="6">
        <f t="shared" si="29"/>
        <v>1032000</v>
      </c>
      <c r="I215" s="6">
        <f t="shared" si="30"/>
        <v>968713.5960761602</v>
      </c>
      <c r="J215" s="6">
        <f t="shared" si="22"/>
        <v>1049000</v>
      </c>
      <c r="K215" s="6"/>
      <c r="L215">
        <v>684000</v>
      </c>
      <c r="M215">
        <f t="shared" si="23"/>
        <v>853000</v>
      </c>
      <c r="N215">
        <f t="shared" si="24"/>
        <v>853000</v>
      </c>
      <c r="O215">
        <f t="shared" si="25"/>
        <v>684000</v>
      </c>
      <c r="P215">
        <f t="shared" si="26"/>
        <v>-684000</v>
      </c>
      <c r="Q215" s="30">
        <f>VLOOKUP(B215,Sheet2!$A$15:$G$380,5,FALSE)*S215/10</f>
        <v>0</v>
      </c>
      <c r="R215" s="30">
        <f>VLOOKUP(B215,Sheet2!$A$15:$G$380,7,FALSE)*S215/10</f>
        <v>0</v>
      </c>
      <c r="T215" s="33">
        <f t="shared" si="27"/>
        <v>-1</v>
      </c>
      <c r="U215" s="33">
        <f t="shared" si="28"/>
        <v>-1</v>
      </c>
    </row>
    <row r="216" spans="2:21" x14ac:dyDescent="0.3">
      <c r="B216" s="5">
        <v>45954</v>
      </c>
      <c r="C216" s="6">
        <v>1013000</v>
      </c>
      <c r="D216" s="6">
        <v>1013000</v>
      </c>
      <c r="E216" s="6">
        <v>1049000</v>
      </c>
      <c r="F216" s="6">
        <v>189996</v>
      </c>
      <c r="G216" s="6">
        <v>193773671000</v>
      </c>
      <c r="H216" s="6">
        <f t="shared" si="29"/>
        <v>1031000</v>
      </c>
      <c r="I216" s="6">
        <f t="shared" si="30"/>
        <v>981023.64804944675</v>
      </c>
      <c r="J216" s="6">
        <f t="shared" si="22"/>
        <v>1013000</v>
      </c>
      <c r="K216" s="6"/>
      <c r="L216">
        <v>684000</v>
      </c>
      <c r="M216">
        <f t="shared" si="23"/>
        <v>846000</v>
      </c>
      <c r="N216">
        <f t="shared" si="24"/>
        <v>846000</v>
      </c>
      <c r="O216">
        <f t="shared" si="25"/>
        <v>684000</v>
      </c>
      <c r="P216">
        <f t="shared" si="26"/>
        <v>-684000</v>
      </c>
      <c r="Q216" s="30">
        <f>VLOOKUP(B216,Sheet2!$A$15:$G$380,5,FALSE)*S216/10</f>
        <v>0</v>
      </c>
      <c r="R216" s="30">
        <f>VLOOKUP(B216,Sheet2!$A$15:$G$380,7,FALSE)*S216/10</f>
        <v>0</v>
      </c>
      <c r="T216" s="33">
        <f t="shared" si="27"/>
        <v>-1</v>
      </c>
      <c r="U216" s="33">
        <f t="shared" si="28"/>
        <v>-1</v>
      </c>
    </row>
    <row r="217" spans="2:21" x14ac:dyDescent="0.3">
      <c r="B217" s="5">
        <v>45955</v>
      </c>
      <c r="C217" s="6">
        <v>1013000</v>
      </c>
      <c r="D217" s="6">
        <v>1013000</v>
      </c>
      <c r="E217" s="6">
        <v>1049000</v>
      </c>
      <c r="F217" s="6">
        <v>189996</v>
      </c>
      <c r="G217" s="6">
        <v>193773671000</v>
      </c>
      <c r="H217" s="6">
        <f t="shared" si="29"/>
        <v>1029000</v>
      </c>
      <c r="I217" s="6">
        <f t="shared" si="30"/>
        <v>993244.21188584808</v>
      </c>
      <c r="J217" s="6">
        <f t="shared" si="22"/>
        <v>1013000</v>
      </c>
      <c r="K217" s="6"/>
      <c r="L217">
        <v>684000</v>
      </c>
      <c r="M217">
        <f t="shared" si="23"/>
        <v>849000</v>
      </c>
      <c r="N217">
        <f t="shared" si="24"/>
        <v>849000</v>
      </c>
      <c r="O217">
        <f t="shared" si="25"/>
        <v>684000</v>
      </c>
      <c r="P217">
        <f t="shared" si="26"/>
        <v>-684000</v>
      </c>
      <c r="Q217" s="30">
        <f>VLOOKUP(B217,Sheet2!$A$15:$G$380,5,FALSE)*S217/10</f>
        <v>0</v>
      </c>
      <c r="R217" s="30">
        <f>VLOOKUP(B217,Sheet2!$A$15:$G$380,7,FALSE)*S217/10</f>
        <v>0</v>
      </c>
      <c r="T217" s="33">
        <f t="shared" si="27"/>
        <v>-1</v>
      </c>
      <c r="U217" s="33">
        <f t="shared" si="28"/>
        <v>-1</v>
      </c>
    </row>
    <row r="218" spans="2:21" x14ac:dyDescent="0.3">
      <c r="B218" s="5">
        <v>45956</v>
      </c>
      <c r="C218" s="6">
        <v>1013000</v>
      </c>
      <c r="D218" s="6">
        <v>1013000</v>
      </c>
      <c r="E218" s="6">
        <v>1049000</v>
      </c>
      <c r="F218" s="6">
        <v>189996</v>
      </c>
      <c r="G218" s="6">
        <v>193773671000</v>
      </c>
      <c r="H218" s="6">
        <f t="shared" si="29"/>
        <v>1028000</v>
      </c>
      <c r="I218" s="6">
        <f t="shared" si="30"/>
        <v>1005376.2598547505</v>
      </c>
      <c r="J218" s="6">
        <f t="shared" si="22"/>
        <v>1013000</v>
      </c>
      <c r="K218" s="6"/>
      <c r="L218">
        <v>684000</v>
      </c>
      <c r="M218">
        <f t="shared" si="23"/>
        <v>850000</v>
      </c>
      <c r="N218">
        <f t="shared" si="24"/>
        <v>850000</v>
      </c>
      <c r="O218">
        <f t="shared" si="25"/>
        <v>684000</v>
      </c>
      <c r="P218">
        <f t="shared" si="26"/>
        <v>-684000</v>
      </c>
      <c r="Q218" s="30">
        <f>VLOOKUP(B218,Sheet2!$A$15:$G$380,5,FALSE)*S218/10</f>
        <v>0</v>
      </c>
      <c r="R218" s="30">
        <f>VLOOKUP(B218,Sheet2!$A$15:$G$380,7,FALSE)*S218/10</f>
        <v>0</v>
      </c>
      <c r="T218" s="33">
        <f t="shared" si="27"/>
        <v>-1</v>
      </c>
      <c r="U218" s="33">
        <f t="shared" si="28"/>
        <v>-1</v>
      </c>
    </row>
    <row r="219" spans="2:21" x14ac:dyDescent="0.3">
      <c r="B219" s="7">
        <v>45957</v>
      </c>
      <c r="C219" s="8">
        <v>1039000</v>
      </c>
      <c r="D219" s="8">
        <v>1039000</v>
      </c>
      <c r="E219" s="8">
        <v>1013000</v>
      </c>
      <c r="F219" s="8">
        <v>222929</v>
      </c>
      <c r="G219" s="8">
        <v>229209194500</v>
      </c>
      <c r="H219" s="6">
        <f t="shared" si="29"/>
        <v>1028000</v>
      </c>
      <c r="I219" s="6">
        <f t="shared" si="30"/>
        <v>1016056.0260604356</v>
      </c>
      <c r="J219" s="6">
        <f t="shared" si="22"/>
        <v>1039000</v>
      </c>
      <c r="K219" s="6"/>
      <c r="L219">
        <v>684000</v>
      </c>
      <c r="M219">
        <f t="shared" si="23"/>
        <v>862000</v>
      </c>
      <c r="N219">
        <f t="shared" si="24"/>
        <v>862000</v>
      </c>
      <c r="O219">
        <f t="shared" si="25"/>
        <v>684000</v>
      </c>
      <c r="P219">
        <f t="shared" si="26"/>
        <v>-684000</v>
      </c>
      <c r="Q219" s="30">
        <f>VLOOKUP(B219,Sheet2!$A$15:$G$380,5,FALSE)*S219/10</f>
        <v>0</v>
      </c>
      <c r="R219" s="30">
        <f>VLOOKUP(B219,Sheet2!$A$15:$G$380,7,FALSE)*S219/10</f>
        <v>0</v>
      </c>
      <c r="T219" s="33">
        <f t="shared" si="27"/>
        <v>-1</v>
      </c>
      <c r="U219" s="33">
        <f t="shared" si="28"/>
        <v>-1</v>
      </c>
    </row>
    <row r="220" spans="2:21" x14ac:dyDescent="0.3">
      <c r="B220" s="5">
        <v>45958</v>
      </c>
      <c r="C220" s="6">
        <v>996000</v>
      </c>
      <c r="D220" s="6">
        <v>996000</v>
      </c>
      <c r="E220" s="6">
        <v>1039000</v>
      </c>
      <c r="F220" s="6">
        <v>183625</v>
      </c>
      <c r="G220" s="6">
        <v>184784889000</v>
      </c>
      <c r="H220" s="6">
        <f t="shared" si="29"/>
        <v>1027000</v>
      </c>
      <c r="I220" s="6">
        <f t="shared" si="30"/>
        <v>1021204.5512496566</v>
      </c>
      <c r="J220" s="6">
        <f t="shared" si="22"/>
        <v>996000</v>
      </c>
      <c r="K220" s="6"/>
      <c r="L220">
        <v>684000</v>
      </c>
      <c r="M220">
        <f t="shared" si="23"/>
        <v>836000</v>
      </c>
      <c r="N220">
        <f t="shared" si="24"/>
        <v>836000</v>
      </c>
      <c r="O220">
        <f t="shared" si="25"/>
        <v>684000</v>
      </c>
      <c r="P220">
        <f t="shared" si="26"/>
        <v>-684000</v>
      </c>
      <c r="Q220" s="30">
        <f>VLOOKUP(B220,Sheet2!$A$15:$G$380,5,FALSE)*S220/10</f>
        <v>0</v>
      </c>
      <c r="R220" s="30">
        <f>VLOOKUP(B220,Sheet2!$A$15:$G$380,7,FALSE)*S220/10</f>
        <v>0</v>
      </c>
      <c r="T220" s="33">
        <f t="shared" si="27"/>
        <v>-1</v>
      </c>
      <c r="U220" s="33">
        <f t="shared" si="28"/>
        <v>-1</v>
      </c>
    </row>
    <row r="221" spans="2:21" x14ac:dyDescent="0.3">
      <c r="B221" s="5">
        <v>45959</v>
      </c>
      <c r="C221" s="6">
        <v>993000</v>
      </c>
      <c r="D221" s="6">
        <v>993000</v>
      </c>
      <c r="E221" s="6">
        <v>996000</v>
      </c>
      <c r="F221" s="6">
        <v>126098</v>
      </c>
      <c r="G221" s="6">
        <v>125166944500</v>
      </c>
      <c r="H221" s="6">
        <f t="shared" si="29"/>
        <v>1026000</v>
      </c>
      <c r="I221" s="6">
        <f t="shared" si="30"/>
        <v>1021522.1315818881</v>
      </c>
      <c r="J221" s="6">
        <f t="shared" si="22"/>
        <v>993000</v>
      </c>
      <c r="K221" s="6"/>
      <c r="L221">
        <v>684000</v>
      </c>
      <c r="M221">
        <f t="shared" si="23"/>
        <v>833000</v>
      </c>
      <c r="N221">
        <f t="shared" si="24"/>
        <v>833000</v>
      </c>
      <c r="O221">
        <f t="shared" si="25"/>
        <v>684000</v>
      </c>
      <c r="P221">
        <f t="shared" si="26"/>
        <v>-684000</v>
      </c>
      <c r="Q221" s="30">
        <f>VLOOKUP(B221,Sheet2!$A$15:$G$380,5,FALSE)*S221/10</f>
        <v>0</v>
      </c>
      <c r="R221" s="30">
        <f>VLOOKUP(B221,Sheet2!$A$15:$G$380,7,FALSE)*S221/10</f>
        <v>0</v>
      </c>
      <c r="T221" s="33">
        <f t="shared" si="27"/>
        <v>-1</v>
      </c>
      <c r="U221" s="33">
        <f t="shared" si="28"/>
        <v>-1</v>
      </c>
    </row>
    <row r="222" spans="2:21" x14ac:dyDescent="0.3">
      <c r="B222" s="5">
        <v>45960</v>
      </c>
      <c r="C222" s="6">
        <v>994000</v>
      </c>
      <c r="D222" s="6">
        <v>994000</v>
      </c>
      <c r="E222" s="6">
        <v>993000</v>
      </c>
      <c r="F222" s="6">
        <v>150339</v>
      </c>
      <c r="G222" s="6">
        <v>150441667000</v>
      </c>
      <c r="H222" s="6">
        <f t="shared" si="29"/>
        <v>1021000</v>
      </c>
      <c r="I222" s="6">
        <f t="shared" si="30"/>
        <v>1014321.6350792791</v>
      </c>
      <c r="J222" s="6">
        <f t="shared" si="22"/>
        <v>994000</v>
      </c>
      <c r="K222" s="6"/>
      <c r="L222">
        <v>684000</v>
      </c>
      <c r="M222">
        <f t="shared" si="23"/>
        <v>834000</v>
      </c>
      <c r="N222">
        <f t="shared" si="24"/>
        <v>834000</v>
      </c>
      <c r="O222">
        <f t="shared" si="25"/>
        <v>684000</v>
      </c>
      <c r="P222">
        <f t="shared" si="26"/>
        <v>-684000</v>
      </c>
      <c r="Q222" s="30">
        <f>VLOOKUP(B222,Sheet2!$A$15:$G$380,5,FALSE)*S222/10</f>
        <v>0</v>
      </c>
      <c r="R222" s="30">
        <f>VLOOKUP(B222,Sheet2!$A$15:$G$380,7,FALSE)*S222/10</f>
        <v>0</v>
      </c>
      <c r="T222" s="33">
        <f t="shared" si="27"/>
        <v>-1</v>
      </c>
      <c r="U222" s="33">
        <f t="shared" si="28"/>
        <v>-1</v>
      </c>
    </row>
    <row r="223" spans="2:21" x14ac:dyDescent="0.3">
      <c r="B223" s="5">
        <v>45961</v>
      </c>
      <c r="C223" s="6">
        <v>979000</v>
      </c>
      <c r="D223" s="6">
        <v>979000</v>
      </c>
      <c r="E223" s="6">
        <v>994000</v>
      </c>
      <c r="F223" s="6">
        <v>123048</v>
      </c>
      <c r="G223" s="6">
        <v>121936433000</v>
      </c>
      <c r="H223" s="6">
        <f t="shared" si="29"/>
        <v>1019000</v>
      </c>
      <c r="I223" s="6">
        <f t="shared" si="30"/>
        <v>1011007.697100666</v>
      </c>
      <c r="J223" s="6">
        <f t="shared" ref="J223:J286" si="31">C223</f>
        <v>979000</v>
      </c>
      <c r="K223" s="6"/>
      <c r="L223">
        <v>684000</v>
      </c>
      <c r="M223">
        <f t="shared" ref="M223:M286" si="32">CEILING(MIN(AVERAGE(H223,I223,J223),J223)*(1-$W$5)/(1+$W$4*$W$5),1000)</f>
        <v>822000</v>
      </c>
      <c r="N223">
        <f t="shared" ref="N223:N286" si="33">CEILING(MIN(AVERAGE(H223,I223,J223),J223)*(1-$W$5)/(1+$W$4*$W$5),1000)</f>
        <v>822000</v>
      </c>
      <c r="O223">
        <f t="shared" ref="O223:O286" si="34">MAX(MIN(L223,M223),N223*0.6)</f>
        <v>684000</v>
      </c>
      <c r="P223">
        <f t="shared" ref="P223:P286" si="35">Q223-O223</f>
        <v>-684000</v>
      </c>
      <c r="Q223" s="30">
        <f>VLOOKUP(B223,Sheet2!$A$15:$G$380,5,FALSE)*S223/10</f>
        <v>0</v>
      </c>
      <c r="R223" s="30">
        <f>VLOOKUP(B223,Sheet2!$A$15:$G$380,7,FALSE)*S223/10</f>
        <v>0</v>
      </c>
      <c r="T223" s="33">
        <f t="shared" ref="T223:T286" si="36">(Q223-C223)/C223</f>
        <v>-1</v>
      </c>
      <c r="U223" s="33">
        <f t="shared" ref="U223:U286" si="37">(R223-C223)/C223</f>
        <v>-1</v>
      </c>
    </row>
    <row r="224" spans="2:21" x14ac:dyDescent="0.3">
      <c r="B224" s="7">
        <v>45962</v>
      </c>
      <c r="C224" s="8">
        <v>979000</v>
      </c>
      <c r="D224" s="8">
        <v>979000</v>
      </c>
      <c r="E224" s="8">
        <v>994000</v>
      </c>
      <c r="F224" s="8">
        <v>123048</v>
      </c>
      <c r="G224" s="8">
        <v>121936433000</v>
      </c>
      <c r="H224" s="6">
        <f t="shared" si="29"/>
        <v>1016000</v>
      </c>
      <c r="I224" s="6">
        <f t="shared" si="30"/>
        <v>1007297.2531974841</v>
      </c>
      <c r="J224" s="6">
        <f t="shared" si="31"/>
        <v>979000</v>
      </c>
      <c r="K224" s="6"/>
      <c r="L224">
        <v>684000</v>
      </c>
      <c r="M224">
        <f t="shared" si="32"/>
        <v>822000</v>
      </c>
      <c r="N224">
        <f t="shared" si="33"/>
        <v>822000</v>
      </c>
      <c r="O224">
        <f t="shared" si="34"/>
        <v>684000</v>
      </c>
      <c r="P224">
        <f t="shared" si="35"/>
        <v>-684000</v>
      </c>
      <c r="Q224" s="30">
        <f>VLOOKUP(B224,Sheet2!$A$15:$G$380,5,FALSE)*S224/10</f>
        <v>0</v>
      </c>
      <c r="R224" s="30">
        <f>VLOOKUP(B224,Sheet2!$A$15:$G$380,7,FALSE)*S224/10</f>
        <v>0</v>
      </c>
      <c r="T224" s="33">
        <f t="shared" si="36"/>
        <v>-1</v>
      </c>
      <c r="U224" s="33">
        <f t="shared" si="37"/>
        <v>-1</v>
      </c>
    </row>
    <row r="225" spans="2:21" x14ac:dyDescent="0.3">
      <c r="B225" s="5">
        <v>45963</v>
      </c>
      <c r="C225" s="6">
        <v>979000</v>
      </c>
      <c r="D225" s="6">
        <v>979000</v>
      </c>
      <c r="E225" s="6">
        <v>994000</v>
      </c>
      <c r="F225" s="6">
        <v>123048</v>
      </c>
      <c r="G225" s="6">
        <v>121936433000</v>
      </c>
      <c r="H225" s="6">
        <f t="shared" si="29"/>
        <v>1013000</v>
      </c>
      <c r="I225" s="6">
        <f t="shared" si="30"/>
        <v>1003114.6136189748</v>
      </c>
      <c r="J225" s="6">
        <f t="shared" si="31"/>
        <v>979000</v>
      </c>
      <c r="K225" s="6"/>
      <c r="L225">
        <v>684000</v>
      </c>
      <c r="M225">
        <f t="shared" si="32"/>
        <v>822000</v>
      </c>
      <c r="N225">
        <f t="shared" si="33"/>
        <v>822000</v>
      </c>
      <c r="O225">
        <f t="shared" si="34"/>
        <v>684000</v>
      </c>
      <c r="P225">
        <f t="shared" si="35"/>
        <v>-684000</v>
      </c>
      <c r="Q225" s="30">
        <f>VLOOKUP(B225,Sheet2!$A$15:$G$380,5,FALSE)*S225/10</f>
        <v>0</v>
      </c>
      <c r="R225" s="30">
        <f>VLOOKUP(B225,Sheet2!$A$15:$G$380,7,FALSE)*S225/10</f>
        <v>0</v>
      </c>
      <c r="T225" s="33">
        <f t="shared" si="36"/>
        <v>-1</v>
      </c>
      <c r="U225" s="33">
        <f t="shared" si="37"/>
        <v>-1</v>
      </c>
    </row>
    <row r="226" spans="2:21" x14ac:dyDescent="0.3">
      <c r="B226" s="5">
        <v>45964</v>
      </c>
      <c r="C226" s="6">
        <v>1042000</v>
      </c>
      <c r="D226" s="6">
        <v>1042000</v>
      </c>
      <c r="E226" s="6">
        <v>979000</v>
      </c>
      <c r="F226" s="6">
        <v>330523</v>
      </c>
      <c r="G226" s="6">
        <v>340714097000</v>
      </c>
      <c r="H226" s="6">
        <f t="shared" si="29"/>
        <v>1011000</v>
      </c>
      <c r="I226" s="6">
        <f t="shared" si="30"/>
        <v>1006197.9104601161</v>
      </c>
      <c r="J226" s="6">
        <f t="shared" si="31"/>
        <v>1042000</v>
      </c>
      <c r="K226" s="6"/>
      <c r="L226">
        <v>684000</v>
      </c>
      <c r="M226">
        <f t="shared" si="32"/>
        <v>856000</v>
      </c>
      <c r="N226">
        <f t="shared" si="33"/>
        <v>856000</v>
      </c>
      <c r="O226">
        <f t="shared" si="34"/>
        <v>684000</v>
      </c>
      <c r="P226">
        <f t="shared" si="35"/>
        <v>-684000</v>
      </c>
      <c r="Q226" s="30">
        <f>VLOOKUP(B226,Sheet2!$A$15:$G$380,5,FALSE)*S226/10</f>
        <v>0</v>
      </c>
      <c r="R226" s="30">
        <f>VLOOKUP(B226,Sheet2!$A$15:$G$380,7,FALSE)*S226/10</f>
        <v>0</v>
      </c>
      <c r="T226" s="33">
        <f t="shared" si="36"/>
        <v>-1</v>
      </c>
      <c r="U226" s="33">
        <f t="shared" si="37"/>
        <v>-1</v>
      </c>
    </row>
    <row r="227" spans="2:21" x14ac:dyDescent="0.3">
      <c r="B227" s="5">
        <v>45965</v>
      </c>
      <c r="C227" s="6">
        <v>1010000</v>
      </c>
      <c r="D227" s="6">
        <v>1010000</v>
      </c>
      <c r="E227" s="6">
        <v>1042000</v>
      </c>
      <c r="F227" s="6">
        <v>180841</v>
      </c>
      <c r="G227" s="6">
        <v>184055131000</v>
      </c>
      <c r="H227" s="6">
        <f t="shared" si="29"/>
        <v>1009000</v>
      </c>
      <c r="I227" s="6">
        <f t="shared" si="30"/>
        <v>1007988.3991892441</v>
      </c>
      <c r="J227" s="6">
        <f t="shared" si="31"/>
        <v>1010000</v>
      </c>
      <c r="K227" s="6"/>
      <c r="L227">
        <v>684000</v>
      </c>
      <c r="M227">
        <f t="shared" si="32"/>
        <v>847000</v>
      </c>
      <c r="N227">
        <f t="shared" si="33"/>
        <v>847000</v>
      </c>
      <c r="O227">
        <f t="shared" si="34"/>
        <v>684000</v>
      </c>
      <c r="P227">
        <f t="shared" si="35"/>
        <v>-684000</v>
      </c>
      <c r="Q227" s="30">
        <f>VLOOKUP(B227,Sheet2!$A$15:$G$380,5,FALSE)*S227/10</f>
        <v>0</v>
      </c>
      <c r="R227" s="30">
        <f>VLOOKUP(B227,Sheet2!$A$15:$G$380,7,FALSE)*S227/10</f>
        <v>0</v>
      </c>
      <c r="T227" s="33">
        <f t="shared" si="36"/>
        <v>-1</v>
      </c>
      <c r="U227" s="33">
        <f t="shared" si="37"/>
        <v>-1</v>
      </c>
    </row>
    <row r="228" spans="2:21" x14ac:dyDescent="0.3">
      <c r="B228" s="5">
        <v>45966</v>
      </c>
      <c r="C228" s="6">
        <v>950000</v>
      </c>
      <c r="D228" s="6">
        <v>950000</v>
      </c>
      <c r="E228" s="6">
        <v>1010000</v>
      </c>
      <c r="F228" s="6">
        <v>302267</v>
      </c>
      <c r="G228" s="6">
        <v>287549440244</v>
      </c>
      <c r="H228" s="6">
        <f t="shared" si="29"/>
        <v>1004000</v>
      </c>
      <c r="I228" s="6">
        <f t="shared" si="30"/>
        <v>996591.16492963093</v>
      </c>
      <c r="J228" s="6">
        <f t="shared" si="31"/>
        <v>950000</v>
      </c>
      <c r="K228" s="6"/>
      <c r="L228">
        <v>684000</v>
      </c>
      <c r="M228">
        <f t="shared" si="32"/>
        <v>797000</v>
      </c>
      <c r="N228">
        <f t="shared" si="33"/>
        <v>797000</v>
      </c>
      <c r="O228">
        <f t="shared" si="34"/>
        <v>684000</v>
      </c>
      <c r="P228">
        <f t="shared" si="35"/>
        <v>-684000</v>
      </c>
      <c r="Q228" s="30">
        <f>VLOOKUP(B228,Sheet2!$A$15:$G$380,5,FALSE)*S228/10</f>
        <v>0</v>
      </c>
      <c r="R228" s="30">
        <f>VLOOKUP(B228,Sheet2!$A$15:$G$380,7,FALSE)*S228/10</f>
        <v>0</v>
      </c>
      <c r="T228" s="33">
        <f t="shared" si="36"/>
        <v>-1</v>
      </c>
      <c r="U228" s="33">
        <f t="shared" si="37"/>
        <v>-1</v>
      </c>
    </row>
    <row r="229" spans="2:21" x14ac:dyDescent="0.3">
      <c r="B229" s="7">
        <v>45967</v>
      </c>
      <c r="C229" s="8">
        <v>970000</v>
      </c>
      <c r="D229" s="8">
        <v>970000</v>
      </c>
      <c r="E229" s="8">
        <v>950000</v>
      </c>
      <c r="F229" s="8">
        <v>142073</v>
      </c>
      <c r="G229" s="8">
        <v>137986919500</v>
      </c>
      <c r="H229" s="6">
        <f t="shared" si="29"/>
        <v>1000000</v>
      </c>
      <c r="I229" s="6">
        <f t="shared" si="30"/>
        <v>993408.21493786457</v>
      </c>
      <c r="J229" s="6">
        <f t="shared" si="31"/>
        <v>970000</v>
      </c>
      <c r="K229" s="6"/>
      <c r="L229">
        <v>684000</v>
      </c>
      <c r="M229">
        <f t="shared" si="32"/>
        <v>814000</v>
      </c>
      <c r="N229">
        <f t="shared" si="33"/>
        <v>814000</v>
      </c>
      <c r="O229">
        <f t="shared" si="34"/>
        <v>684000</v>
      </c>
      <c r="P229">
        <f t="shared" si="35"/>
        <v>-684000</v>
      </c>
      <c r="Q229" s="30">
        <f>VLOOKUP(B229,Sheet2!$A$15:$G$380,5,FALSE)*S229/10</f>
        <v>0</v>
      </c>
      <c r="R229" s="30">
        <f>VLOOKUP(B229,Sheet2!$A$15:$G$380,7,FALSE)*S229/10</f>
        <v>0</v>
      </c>
      <c r="T229" s="33">
        <f t="shared" si="36"/>
        <v>-1</v>
      </c>
      <c r="U229" s="33">
        <f t="shared" si="37"/>
        <v>-1</v>
      </c>
    </row>
    <row r="230" spans="2:21" x14ac:dyDescent="0.3">
      <c r="B230" s="5">
        <v>45968</v>
      </c>
      <c r="C230" s="6">
        <v>923000</v>
      </c>
      <c r="D230" s="6">
        <v>923000</v>
      </c>
      <c r="E230" s="6">
        <v>970000</v>
      </c>
      <c r="F230" s="6">
        <v>255527</v>
      </c>
      <c r="G230" s="6">
        <v>235793761000</v>
      </c>
      <c r="H230" s="6">
        <f t="shared" si="29"/>
        <v>994000</v>
      </c>
      <c r="I230" s="6">
        <f t="shared" si="30"/>
        <v>981229.48023607605</v>
      </c>
      <c r="J230" s="6">
        <f t="shared" si="31"/>
        <v>923000</v>
      </c>
      <c r="K230" s="6"/>
      <c r="L230">
        <v>684000</v>
      </c>
      <c r="M230">
        <f t="shared" si="32"/>
        <v>775000</v>
      </c>
      <c r="N230">
        <f t="shared" si="33"/>
        <v>775000</v>
      </c>
      <c r="O230">
        <f t="shared" si="34"/>
        <v>684000</v>
      </c>
      <c r="P230">
        <f t="shared" si="35"/>
        <v>-684000</v>
      </c>
      <c r="Q230" s="30">
        <f>VLOOKUP(B230,Sheet2!$A$15:$G$380,5,FALSE)*S230/10</f>
        <v>0</v>
      </c>
      <c r="R230" s="30">
        <f>VLOOKUP(B230,Sheet2!$A$15:$G$380,7,FALSE)*S230/10</f>
        <v>0</v>
      </c>
      <c r="T230" s="33">
        <f t="shared" si="36"/>
        <v>-1</v>
      </c>
      <c r="U230" s="33">
        <f t="shared" si="37"/>
        <v>-1</v>
      </c>
    </row>
    <row r="231" spans="2:21" x14ac:dyDescent="0.3">
      <c r="B231" s="5">
        <v>45969</v>
      </c>
      <c r="C231" s="6">
        <v>923000</v>
      </c>
      <c r="D231" s="6">
        <v>923000</v>
      </c>
      <c r="E231" s="6">
        <v>970000</v>
      </c>
      <c r="F231" s="6">
        <v>255527</v>
      </c>
      <c r="G231" s="6">
        <v>235793761000</v>
      </c>
      <c r="H231" s="6">
        <f t="shared" si="29"/>
        <v>988000</v>
      </c>
      <c r="I231" s="6">
        <f t="shared" si="30"/>
        <v>971080.46059959522</v>
      </c>
      <c r="J231" s="6">
        <f t="shared" si="31"/>
        <v>923000</v>
      </c>
      <c r="K231" s="6"/>
      <c r="L231">
        <v>684000</v>
      </c>
      <c r="M231">
        <f t="shared" si="32"/>
        <v>775000</v>
      </c>
      <c r="N231">
        <f t="shared" si="33"/>
        <v>775000</v>
      </c>
      <c r="O231">
        <f t="shared" si="34"/>
        <v>684000</v>
      </c>
      <c r="P231">
        <f t="shared" si="35"/>
        <v>-684000</v>
      </c>
      <c r="Q231" s="30">
        <f>VLOOKUP(B231,Sheet2!$A$15:$G$380,5,FALSE)*S231/10</f>
        <v>0</v>
      </c>
      <c r="R231" s="30">
        <f>VLOOKUP(B231,Sheet2!$A$15:$G$380,7,FALSE)*S231/10</f>
        <v>0</v>
      </c>
      <c r="T231" s="33">
        <f t="shared" si="36"/>
        <v>-1</v>
      </c>
      <c r="U231" s="33">
        <f t="shared" si="37"/>
        <v>-1</v>
      </c>
    </row>
    <row r="232" spans="2:21" x14ac:dyDescent="0.3">
      <c r="B232" s="5">
        <v>45970</v>
      </c>
      <c r="C232" s="6">
        <v>923000</v>
      </c>
      <c r="D232" s="6">
        <v>923000</v>
      </c>
      <c r="E232" s="6">
        <v>970000</v>
      </c>
      <c r="F232" s="6">
        <v>255527</v>
      </c>
      <c r="G232" s="6">
        <v>235793761000</v>
      </c>
      <c r="H232" s="6">
        <f t="shared" si="29"/>
        <v>983000</v>
      </c>
      <c r="I232" s="6">
        <f t="shared" si="30"/>
        <v>962492.77601790649</v>
      </c>
      <c r="J232" s="6">
        <f t="shared" si="31"/>
        <v>923000</v>
      </c>
      <c r="K232" s="6"/>
      <c r="L232">
        <v>684000</v>
      </c>
      <c r="M232">
        <f t="shared" si="32"/>
        <v>775000</v>
      </c>
      <c r="N232">
        <f t="shared" si="33"/>
        <v>775000</v>
      </c>
      <c r="O232">
        <f t="shared" si="34"/>
        <v>684000</v>
      </c>
      <c r="P232">
        <f t="shared" si="35"/>
        <v>-684000</v>
      </c>
      <c r="Q232" s="30">
        <f>VLOOKUP(B232,Sheet2!$A$15:$G$380,5,FALSE)*S232/10</f>
        <v>0</v>
      </c>
      <c r="R232" s="30">
        <f>VLOOKUP(B232,Sheet2!$A$15:$G$380,7,FALSE)*S232/10</f>
        <v>0</v>
      </c>
      <c r="T232" s="33">
        <f t="shared" si="36"/>
        <v>-1</v>
      </c>
      <c r="U232" s="33">
        <f t="shared" si="37"/>
        <v>-1</v>
      </c>
    </row>
    <row r="233" spans="2:21" x14ac:dyDescent="0.3">
      <c r="B233" s="5">
        <v>45971</v>
      </c>
      <c r="C233" s="6">
        <v>965000</v>
      </c>
      <c r="D233" s="6">
        <v>965000</v>
      </c>
      <c r="E233" s="6">
        <v>923000</v>
      </c>
      <c r="F233" s="6">
        <v>150467</v>
      </c>
      <c r="G233" s="6">
        <v>145446936000</v>
      </c>
      <c r="H233" s="6">
        <f t="shared" si="29"/>
        <v>980000</v>
      </c>
      <c r="I233" s="6">
        <f t="shared" si="30"/>
        <v>948250.68763717974</v>
      </c>
      <c r="J233" s="6">
        <f t="shared" si="31"/>
        <v>965000</v>
      </c>
      <c r="K233" s="6"/>
      <c r="L233">
        <v>684000</v>
      </c>
      <c r="M233">
        <f t="shared" si="32"/>
        <v>809000</v>
      </c>
      <c r="N233">
        <f t="shared" si="33"/>
        <v>809000</v>
      </c>
      <c r="O233">
        <f t="shared" si="34"/>
        <v>684000</v>
      </c>
      <c r="P233">
        <f t="shared" si="35"/>
        <v>-684000</v>
      </c>
      <c r="Q233" s="30">
        <f>VLOOKUP(B233,Sheet2!$A$15:$G$380,5,FALSE)*S233/10</f>
        <v>0</v>
      </c>
      <c r="R233" s="30">
        <f>VLOOKUP(B233,Sheet2!$A$15:$G$380,7,FALSE)*S233/10</f>
        <v>0</v>
      </c>
      <c r="T233" s="33">
        <f t="shared" si="36"/>
        <v>-1</v>
      </c>
      <c r="U233" s="33">
        <f t="shared" si="37"/>
        <v>-1</v>
      </c>
    </row>
    <row r="234" spans="2:21" x14ac:dyDescent="0.3">
      <c r="B234" s="7">
        <v>45972</v>
      </c>
      <c r="C234" s="8">
        <v>948000</v>
      </c>
      <c r="D234" s="8">
        <v>948000</v>
      </c>
      <c r="E234" s="8">
        <v>965000</v>
      </c>
      <c r="F234" s="8">
        <v>118730</v>
      </c>
      <c r="G234" s="8">
        <v>114277039500</v>
      </c>
      <c r="H234" s="6">
        <f t="shared" si="29"/>
        <v>976000</v>
      </c>
      <c r="I234" s="6">
        <f t="shared" si="30"/>
        <v>940899.04875422094</v>
      </c>
      <c r="J234" s="6">
        <f t="shared" si="31"/>
        <v>948000</v>
      </c>
      <c r="K234" s="6"/>
      <c r="L234">
        <v>684000</v>
      </c>
      <c r="M234">
        <f t="shared" si="32"/>
        <v>796000</v>
      </c>
      <c r="N234">
        <f t="shared" si="33"/>
        <v>796000</v>
      </c>
      <c r="O234">
        <f t="shared" si="34"/>
        <v>684000</v>
      </c>
      <c r="P234">
        <f t="shared" si="35"/>
        <v>-684000</v>
      </c>
      <c r="Q234" s="30">
        <f>VLOOKUP(B234,Sheet2!$A$15:$G$380,5,FALSE)*S234/10</f>
        <v>0</v>
      </c>
      <c r="R234" s="30">
        <f>VLOOKUP(B234,Sheet2!$A$15:$G$380,7,FALSE)*S234/10</f>
        <v>0</v>
      </c>
      <c r="T234" s="33">
        <f t="shared" si="36"/>
        <v>-1</v>
      </c>
      <c r="U234" s="33">
        <f t="shared" si="37"/>
        <v>-1</v>
      </c>
    </row>
    <row r="235" spans="2:21" x14ac:dyDescent="0.3">
      <c r="B235" s="5">
        <v>45973</v>
      </c>
      <c r="C235" s="6">
        <v>960000</v>
      </c>
      <c r="D235" s="6">
        <v>960000</v>
      </c>
      <c r="E235" s="6">
        <v>948000</v>
      </c>
      <c r="F235" s="6">
        <v>167363</v>
      </c>
      <c r="G235" s="6">
        <v>161332730506</v>
      </c>
      <c r="H235" s="6">
        <f t="shared" si="29"/>
        <v>975000</v>
      </c>
      <c r="I235" s="6">
        <f t="shared" si="30"/>
        <v>941430.06875188637</v>
      </c>
      <c r="J235" s="6">
        <f t="shared" si="31"/>
        <v>960000</v>
      </c>
      <c r="K235" s="6"/>
      <c r="L235">
        <v>684000</v>
      </c>
      <c r="M235">
        <f t="shared" si="32"/>
        <v>805000</v>
      </c>
      <c r="N235">
        <f t="shared" si="33"/>
        <v>805000</v>
      </c>
      <c r="O235">
        <f t="shared" si="34"/>
        <v>684000</v>
      </c>
      <c r="P235">
        <f t="shared" si="35"/>
        <v>-684000</v>
      </c>
      <c r="Q235" s="30">
        <f>VLOOKUP(B235,Sheet2!$A$15:$G$380,5,FALSE)*S235/10</f>
        <v>0</v>
      </c>
      <c r="R235" s="30">
        <f>VLOOKUP(B235,Sheet2!$A$15:$G$380,7,FALSE)*S235/10</f>
        <v>0</v>
      </c>
      <c r="T235" s="33">
        <f t="shared" si="36"/>
        <v>-1</v>
      </c>
      <c r="U235" s="33">
        <f t="shared" si="37"/>
        <v>-1</v>
      </c>
    </row>
    <row r="236" spans="2:21" x14ac:dyDescent="0.3">
      <c r="B236" s="5">
        <v>45974</v>
      </c>
      <c r="C236" s="6">
        <v>956000</v>
      </c>
      <c r="D236" s="6">
        <v>956000</v>
      </c>
      <c r="E236" s="6">
        <v>960000</v>
      </c>
      <c r="F236" s="6">
        <v>118138</v>
      </c>
      <c r="G236" s="6">
        <v>113292736500</v>
      </c>
      <c r="H236" s="6">
        <f t="shared" si="29"/>
        <v>976000</v>
      </c>
      <c r="I236" s="6">
        <f t="shared" si="30"/>
        <v>939794.49117559579</v>
      </c>
      <c r="J236" s="6">
        <f t="shared" si="31"/>
        <v>956000</v>
      </c>
      <c r="K236" s="6"/>
      <c r="L236">
        <v>684000</v>
      </c>
      <c r="M236">
        <f t="shared" si="32"/>
        <v>802000</v>
      </c>
      <c r="N236">
        <f t="shared" si="33"/>
        <v>802000</v>
      </c>
      <c r="O236">
        <f t="shared" si="34"/>
        <v>684000</v>
      </c>
      <c r="P236">
        <f t="shared" si="35"/>
        <v>-684000</v>
      </c>
      <c r="Q236" s="30">
        <f>VLOOKUP(B236,Sheet2!$A$15:$G$380,5,FALSE)*S236/10</f>
        <v>0</v>
      </c>
      <c r="R236" s="30">
        <f>VLOOKUP(B236,Sheet2!$A$15:$G$380,7,FALSE)*S236/10</f>
        <v>0</v>
      </c>
      <c r="T236" s="33">
        <f t="shared" si="36"/>
        <v>-1</v>
      </c>
      <c r="U236" s="33">
        <f t="shared" si="37"/>
        <v>-1</v>
      </c>
    </row>
    <row r="237" spans="2:21" x14ac:dyDescent="0.3">
      <c r="B237" s="5">
        <v>45975</v>
      </c>
      <c r="C237" s="6">
        <v>955000</v>
      </c>
      <c r="D237" s="6">
        <v>955000</v>
      </c>
      <c r="E237" s="6">
        <v>956000</v>
      </c>
      <c r="F237" s="6">
        <v>211727</v>
      </c>
      <c r="G237" s="6">
        <v>205175422000</v>
      </c>
      <c r="H237" s="6">
        <f t="shared" si="29"/>
        <v>977000</v>
      </c>
      <c r="I237" s="6">
        <f t="shared" si="30"/>
        <v>948048.76362429443</v>
      </c>
      <c r="J237" s="6">
        <f t="shared" si="31"/>
        <v>955000</v>
      </c>
      <c r="K237" s="6"/>
      <c r="L237">
        <v>684000</v>
      </c>
      <c r="M237">
        <f t="shared" si="32"/>
        <v>801000</v>
      </c>
      <c r="N237">
        <f t="shared" si="33"/>
        <v>801000</v>
      </c>
      <c r="O237">
        <f t="shared" si="34"/>
        <v>684000</v>
      </c>
      <c r="P237">
        <f t="shared" si="35"/>
        <v>-684000</v>
      </c>
      <c r="Q237" s="30">
        <f>VLOOKUP(B237,Sheet2!$A$15:$G$380,5,FALSE)*S237/10</f>
        <v>0</v>
      </c>
      <c r="R237" s="30">
        <f>VLOOKUP(B237,Sheet2!$A$15:$G$380,7,FALSE)*S237/10</f>
        <v>0</v>
      </c>
      <c r="T237" s="33">
        <f t="shared" si="36"/>
        <v>-1</v>
      </c>
      <c r="U237" s="33">
        <f t="shared" si="37"/>
        <v>-1</v>
      </c>
    </row>
    <row r="238" spans="2:21" x14ac:dyDescent="0.3">
      <c r="B238" s="5">
        <v>45976</v>
      </c>
      <c r="C238" s="6">
        <v>955000</v>
      </c>
      <c r="D238" s="6">
        <v>955000</v>
      </c>
      <c r="E238" s="6">
        <v>956000</v>
      </c>
      <c r="F238" s="6">
        <v>211727</v>
      </c>
      <c r="G238" s="6">
        <v>205175422000</v>
      </c>
      <c r="H238" s="6">
        <f t="shared" si="29"/>
        <v>978000</v>
      </c>
      <c r="I238" s="6">
        <f t="shared" si="30"/>
        <v>956889.148235481</v>
      </c>
      <c r="J238" s="6">
        <f t="shared" si="31"/>
        <v>955000</v>
      </c>
      <c r="K238" s="6"/>
      <c r="L238">
        <v>684000</v>
      </c>
      <c r="M238">
        <f t="shared" si="32"/>
        <v>801000</v>
      </c>
      <c r="N238">
        <f t="shared" si="33"/>
        <v>801000</v>
      </c>
      <c r="O238">
        <f t="shared" si="34"/>
        <v>684000</v>
      </c>
      <c r="P238">
        <f t="shared" si="35"/>
        <v>-684000</v>
      </c>
      <c r="Q238" s="30">
        <f>VLOOKUP(B238,Sheet2!$A$15:$G$380,5,FALSE)*S238/10</f>
        <v>0</v>
      </c>
      <c r="R238" s="30">
        <f>VLOOKUP(B238,Sheet2!$A$15:$G$380,7,FALSE)*S238/10</f>
        <v>0</v>
      </c>
      <c r="T238" s="33">
        <f t="shared" si="36"/>
        <v>-1</v>
      </c>
      <c r="U238" s="33">
        <f t="shared" si="37"/>
        <v>-1</v>
      </c>
    </row>
    <row r="239" spans="2:21" x14ac:dyDescent="0.3">
      <c r="B239" s="7">
        <v>45977</v>
      </c>
      <c r="C239" s="8">
        <v>955000</v>
      </c>
      <c r="D239" s="8">
        <v>955000</v>
      </c>
      <c r="E239" s="8">
        <v>956000</v>
      </c>
      <c r="F239" s="8">
        <v>211727</v>
      </c>
      <c r="G239" s="8">
        <v>205175422000</v>
      </c>
      <c r="H239" s="6">
        <f t="shared" si="29"/>
        <v>980000</v>
      </c>
      <c r="I239" s="6">
        <f t="shared" si="30"/>
        <v>966380.37019394408</v>
      </c>
      <c r="J239" s="6">
        <f t="shared" si="31"/>
        <v>955000</v>
      </c>
      <c r="K239" s="6"/>
      <c r="L239">
        <v>684000</v>
      </c>
      <c r="M239">
        <f t="shared" si="32"/>
        <v>801000</v>
      </c>
      <c r="N239">
        <f t="shared" si="33"/>
        <v>801000</v>
      </c>
      <c r="O239">
        <f t="shared" si="34"/>
        <v>684000</v>
      </c>
      <c r="P239">
        <f t="shared" si="35"/>
        <v>-684000</v>
      </c>
      <c r="Q239" s="30">
        <f>VLOOKUP(B239,Sheet2!$A$15:$G$380,5,FALSE)*S239/10</f>
        <v>0</v>
      </c>
      <c r="R239" s="30">
        <f>VLOOKUP(B239,Sheet2!$A$15:$G$380,7,FALSE)*S239/10</f>
        <v>0</v>
      </c>
      <c r="T239" s="33">
        <f t="shared" si="36"/>
        <v>-1</v>
      </c>
      <c r="U239" s="33">
        <f t="shared" si="37"/>
        <v>-1</v>
      </c>
    </row>
    <row r="240" spans="2:21" x14ac:dyDescent="0.3">
      <c r="B240" s="5">
        <v>45978</v>
      </c>
      <c r="C240" s="6">
        <v>979000</v>
      </c>
      <c r="D240" s="6">
        <v>979000</v>
      </c>
      <c r="E240" s="6">
        <v>955000</v>
      </c>
      <c r="F240" s="6">
        <v>151162</v>
      </c>
      <c r="G240" s="6">
        <v>146493937500</v>
      </c>
      <c r="H240" s="6">
        <f t="shared" si="29"/>
        <v>981000</v>
      </c>
      <c r="I240" s="6">
        <f t="shared" si="30"/>
        <v>966695.65269021492</v>
      </c>
      <c r="J240" s="6">
        <f t="shared" si="31"/>
        <v>979000</v>
      </c>
      <c r="K240" s="6"/>
      <c r="L240">
        <v>684000</v>
      </c>
      <c r="M240">
        <f t="shared" si="32"/>
        <v>819000</v>
      </c>
      <c r="N240">
        <f t="shared" si="33"/>
        <v>819000</v>
      </c>
      <c r="O240">
        <f t="shared" si="34"/>
        <v>684000</v>
      </c>
      <c r="P240">
        <f t="shared" si="35"/>
        <v>-684000</v>
      </c>
      <c r="Q240" s="30">
        <f>VLOOKUP(B240,Sheet2!$A$15:$G$380,5,FALSE)*S240/10</f>
        <v>0</v>
      </c>
      <c r="R240" s="30">
        <f>VLOOKUP(B240,Sheet2!$A$15:$G$380,7,FALSE)*S240/10</f>
        <v>0</v>
      </c>
      <c r="T240" s="33">
        <f t="shared" si="36"/>
        <v>-1</v>
      </c>
      <c r="U240" s="33">
        <f t="shared" si="37"/>
        <v>-1</v>
      </c>
    </row>
    <row r="241" spans="2:21" x14ac:dyDescent="0.3">
      <c r="B241" s="5">
        <v>45979</v>
      </c>
      <c r="C241" s="6">
        <v>921000</v>
      </c>
      <c r="D241" s="6">
        <v>921000</v>
      </c>
      <c r="E241" s="6">
        <v>979000</v>
      </c>
      <c r="F241" s="6">
        <v>209914</v>
      </c>
      <c r="G241" s="6">
        <v>199238413000</v>
      </c>
      <c r="H241" s="6">
        <f t="shared" si="29"/>
        <v>982000</v>
      </c>
      <c r="I241" s="6">
        <f t="shared" si="30"/>
        <v>964210.15785038983</v>
      </c>
      <c r="J241" s="6">
        <f t="shared" si="31"/>
        <v>921000</v>
      </c>
      <c r="K241" s="6"/>
      <c r="L241">
        <v>684000</v>
      </c>
      <c r="M241">
        <f t="shared" si="32"/>
        <v>773000</v>
      </c>
      <c r="N241">
        <f t="shared" si="33"/>
        <v>773000</v>
      </c>
      <c r="O241">
        <f t="shared" si="34"/>
        <v>684000</v>
      </c>
      <c r="P241">
        <f t="shared" si="35"/>
        <v>-684000</v>
      </c>
      <c r="Q241" s="30">
        <f>VLOOKUP(B241,Sheet2!$A$15:$G$380,5,FALSE)*S241/10</f>
        <v>0</v>
      </c>
      <c r="R241" s="30">
        <f>VLOOKUP(B241,Sheet2!$A$15:$G$380,7,FALSE)*S241/10</f>
        <v>0</v>
      </c>
      <c r="T241" s="33">
        <f t="shared" si="36"/>
        <v>-1</v>
      </c>
      <c r="U241" s="33">
        <f t="shared" si="37"/>
        <v>-1</v>
      </c>
    </row>
    <row r="242" spans="2:21" x14ac:dyDescent="0.3">
      <c r="B242" s="5">
        <v>45980</v>
      </c>
      <c r="C242" s="6">
        <v>905000</v>
      </c>
      <c r="D242" s="6">
        <v>905000</v>
      </c>
      <c r="E242" s="6">
        <v>921000</v>
      </c>
      <c r="F242" s="6">
        <v>309855</v>
      </c>
      <c r="G242" s="6">
        <v>282949173500</v>
      </c>
      <c r="H242" s="6">
        <f t="shared" si="29"/>
        <v>980000</v>
      </c>
      <c r="I242" s="6">
        <f t="shared" si="30"/>
        <v>953133.59768299107</v>
      </c>
      <c r="J242" s="6">
        <f t="shared" si="31"/>
        <v>905000</v>
      </c>
      <c r="K242" s="6"/>
      <c r="L242">
        <v>684000</v>
      </c>
      <c r="M242">
        <f t="shared" si="32"/>
        <v>760000</v>
      </c>
      <c r="N242">
        <f t="shared" si="33"/>
        <v>760000</v>
      </c>
      <c r="O242">
        <f t="shared" si="34"/>
        <v>684000</v>
      </c>
      <c r="P242">
        <f t="shared" si="35"/>
        <v>-684000</v>
      </c>
      <c r="Q242" s="30">
        <f>VLOOKUP(B242,Sheet2!$A$15:$G$380,5,FALSE)*S242/10</f>
        <v>0</v>
      </c>
      <c r="R242" s="30">
        <f>VLOOKUP(B242,Sheet2!$A$15:$G$380,7,FALSE)*S242/10</f>
        <v>0</v>
      </c>
      <c r="T242" s="33">
        <f t="shared" si="36"/>
        <v>-1</v>
      </c>
      <c r="U242" s="33">
        <f t="shared" si="37"/>
        <v>-1</v>
      </c>
    </row>
    <row r="243" spans="2:21" x14ac:dyDescent="0.3">
      <c r="B243" s="5">
        <v>45981</v>
      </c>
      <c r="C243" s="6">
        <v>916000</v>
      </c>
      <c r="D243" s="6">
        <v>916000</v>
      </c>
      <c r="E243" s="6">
        <v>905000</v>
      </c>
      <c r="F243" s="6">
        <v>183622</v>
      </c>
      <c r="G243" s="6">
        <v>170034689148</v>
      </c>
      <c r="H243" s="6">
        <f t="shared" si="29"/>
        <v>978000</v>
      </c>
      <c r="I243" s="6">
        <f t="shared" si="30"/>
        <v>949325.50317573478</v>
      </c>
      <c r="J243" s="6">
        <f t="shared" si="31"/>
        <v>916000</v>
      </c>
      <c r="K243" s="6"/>
      <c r="L243">
        <v>684000</v>
      </c>
      <c r="M243">
        <f t="shared" si="32"/>
        <v>769000</v>
      </c>
      <c r="N243">
        <f t="shared" si="33"/>
        <v>769000</v>
      </c>
      <c r="O243">
        <f t="shared" si="34"/>
        <v>684000</v>
      </c>
      <c r="P243">
        <f t="shared" si="35"/>
        <v>-684000</v>
      </c>
      <c r="Q243" s="30">
        <f>VLOOKUP(B243,Sheet2!$A$15:$G$380,5,FALSE)*S243/10</f>
        <v>0</v>
      </c>
      <c r="R243" s="30">
        <f>VLOOKUP(B243,Sheet2!$A$15:$G$380,7,FALSE)*S243/10</f>
        <v>0</v>
      </c>
      <c r="T243" s="33">
        <f t="shared" si="36"/>
        <v>-1</v>
      </c>
      <c r="U243" s="33">
        <f t="shared" si="37"/>
        <v>-1</v>
      </c>
    </row>
    <row r="244" spans="2:21" x14ac:dyDescent="0.3">
      <c r="B244" s="7">
        <v>45982</v>
      </c>
      <c r="C244" s="8">
        <v>869000</v>
      </c>
      <c r="D244" s="8">
        <v>869000</v>
      </c>
      <c r="E244" s="8">
        <v>916000</v>
      </c>
      <c r="F244" s="8">
        <v>256581</v>
      </c>
      <c r="G244" s="8">
        <v>223611684000</v>
      </c>
      <c r="H244" s="6">
        <f t="shared" si="29"/>
        <v>972000</v>
      </c>
      <c r="I244" s="6">
        <f t="shared" si="30"/>
        <v>933591.77912768768</v>
      </c>
      <c r="J244" s="6">
        <f t="shared" si="31"/>
        <v>869000</v>
      </c>
      <c r="K244" s="6"/>
      <c r="L244">
        <v>684000</v>
      </c>
      <c r="M244">
        <f t="shared" si="32"/>
        <v>729000</v>
      </c>
      <c r="N244">
        <f t="shared" si="33"/>
        <v>729000</v>
      </c>
      <c r="O244">
        <f t="shared" si="34"/>
        <v>684000</v>
      </c>
      <c r="P244">
        <f t="shared" si="35"/>
        <v>-684000</v>
      </c>
      <c r="Q244" s="30">
        <f>VLOOKUP(B244,Sheet2!$A$15:$G$380,5,FALSE)*S244/10</f>
        <v>0</v>
      </c>
      <c r="R244" s="30">
        <f>VLOOKUP(B244,Sheet2!$A$15:$G$380,7,FALSE)*S244/10</f>
        <v>0</v>
      </c>
      <c r="T244" s="33">
        <f t="shared" si="36"/>
        <v>-1</v>
      </c>
      <c r="U244" s="33">
        <f t="shared" si="37"/>
        <v>-1</v>
      </c>
    </row>
    <row r="245" spans="2:21" x14ac:dyDescent="0.3">
      <c r="B245" s="5">
        <v>45983</v>
      </c>
      <c r="C245" s="6">
        <v>869000</v>
      </c>
      <c r="D245" s="6">
        <v>869000</v>
      </c>
      <c r="E245" s="6">
        <v>916000</v>
      </c>
      <c r="F245" s="6">
        <v>256581</v>
      </c>
      <c r="G245" s="6">
        <v>223611684000</v>
      </c>
      <c r="H245" s="6">
        <f t="shared" si="29"/>
        <v>965000</v>
      </c>
      <c r="I245" s="6">
        <f t="shared" si="30"/>
        <v>918751.68771502853</v>
      </c>
      <c r="J245" s="6">
        <f t="shared" si="31"/>
        <v>869000</v>
      </c>
      <c r="K245" s="6"/>
      <c r="L245">
        <v>684000</v>
      </c>
      <c r="M245">
        <f t="shared" si="32"/>
        <v>729000</v>
      </c>
      <c r="N245">
        <f t="shared" si="33"/>
        <v>729000</v>
      </c>
      <c r="O245">
        <f t="shared" si="34"/>
        <v>684000</v>
      </c>
      <c r="P245">
        <f t="shared" si="35"/>
        <v>-684000</v>
      </c>
      <c r="Q245" s="30">
        <f>VLOOKUP(B245,Sheet2!$A$15:$G$380,5,FALSE)*S245/10</f>
        <v>0</v>
      </c>
      <c r="R245" s="30">
        <f>VLOOKUP(B245,Sheet2!$A$15:$G$380,7,FALSE)*S245/10</f>
        <v>0</v>
      </c>
      <c r="T245" s="33">
        <f t="shared" si="36"/>
        <v>-1</v>
      </c>
      <c r="U245" s="33">
        <f t="shared" si="37"/>
        <v>-1</v>
      </c>
    </row>
    <row r="246" spans="2:21" x14ac:dyDescent="0.3">
      <c r="B246" s="5">
        <v>45984</v>
      </c>
      <c r="C246" s="6">
        <v>869000</v>
      </c>
      <c r="D246" s="6">
        <v>869000</v>
      </c>
      <c r="E246" s="6">
        <v>916000</v>
      </c>
      <c r="F246" s="6">
        <v>256581</v>
      </c>
      <c r="G246" s="6">
        <v>223611684000</v>
      </c>
      <c r="H246" s="6">
        <f t="shared" si="29"/>
        <v>959000</v>
      </c>
      <c r="I246" s="6">
        <f t="shared" si="30"/>
        <v>904731.1974837099</v>
      </c>
      <c r="J246" s="6">
        <f t="shared" si="31"/>
        <v>869000</v>
      </c>
      <c r="K246" s="6"/>
      <c r="L246">
        <v>684000</v>
      </c>
      <c r="M246">
        <f t="shared" si="32"/>
        <v>729000</v>
      </c>
      <c r="N246">
        <f t="shared" si="33"/>
        <v>729000</v>
      </c>
      <c r="O246">
        <f t="shared" si="34"/>
        <v>684000</v>
      </c>
      <c r="P246">
        <f t="shared" si="35"/>
        <v>-684000</v>
      </c>
      <c r="Q246" s="30">
        <f>VLOOKUP(B246,Sheet2!$A$15:$G$380,5,FALSE)*S246/10</f>
        <v>0</v>
      </c>
      <c r="R246" s="30">
        <f>VLOOKUP(B246,Sheet2!$A$15:$G$380,7,FALSE)*S246/10</f>
        <v>0</v>
      </c>
      <c r="T246" s="33">
        <f t="shared" si="36"/>
        <v>-1</v>
      </c>
      <c r="U246" s="33">
        <f t="shared" si="37"/>
        <v>-1</v>
      </c>
    </row>
    <row r="247" spans="2:21" x14ac:dyDescent="0.3">
      <c r="B247" s="5">
        <v>45985</v>
      </c>
      <c r="C247" s="6">
        <v>855000</v>
      </c>
      <c r="D247" s="6">
        <v>855000</v>
      </c>
      <c r="E247" s="6">
        <v>869000</v>
      </c>
      <c r="F247" s="6">
        <v>301258</v>
      </c>
      <c r="G247" s="6">
        <v>257533414500</v>
      </c>
      <c r="H247" s="6">
        <f t="shared" si="29"/>
        <v>952000</v>
      </c>
      <c r="I247" s="6">
        <f t="shared" si="30"/>
        <v>890778.78064599028</v>
      </c>
      <c r="J247" s="6">
        <f t="shared" si="31"/>
        <v>855000</v>
      </c>
      <c r="K247" s="6"/>
      <c r="L247">
        <v>684000</v>
      </c>
      <c r="M247">
        <f t="shared" si="32"/>
        <v>718000</v>
      </c>
      <c r="N247">
        <f t="shared" si="33"/>
        <v>718000</v>
      </c>
      <c r="O247">
        <f t="shared" si="34"/>
        <v>684000</v>
      </c>
      <c r="P247">
        <f t="shared" si="35"/>
        <v>-684000</v>
      </c>
      <c r="Q247" s="30">
        <f>VLOOKUP(B247,Sheet2!$A$15:$G$380,5,FALSE)*S247/10</f>
        <v>0</v>
      </c>
      <c r="R247" s="30">
        <f>VLOOKUP(B247,Sheet2!$A$15:$G$380,7,FALSE)*S247/10</f>
        <v>0</v>
      </c>
      <c r="T247" s="33">
        <f t="shared" si="36"/>
        <v>-1</v>
      </c>
      <c r="U247" s="33">
        <f t="shared" si="37"/>
        <v>-1</v>
      </c>
    </row>
    <row r="248" spans="2:21" x14ac:dyDescent="0.3">
      <c r="B248" s="5">
        <v>45986</v>
      </c>
      <c r="C248" s="6">
        <v>859000</v>
      </c>
      <c r="D248" s="6">
        <v>859000</v>
      </c>
      <c r="E248" s="6">
        <v>855000</v>
      </c>
      <c r="F248" s="6">
        <v>121366</v>
      </c>
      <c r="G248" s="6">
        <v>104622364500</v>
      </c>
      <c r="H248" s="6">
        <f t="shared" si="29"/>
        <v>948000</v>
      </c>
      <c r="I248" s="6">
        <f t="shared" si="30"/>
        <v>881442.58522615384</v>
      </c>
      <c r="J248" s="6">
        <f t="shared" si="31"/>
        <v>859000</v>
      </c>
      <c r="K248" s="6"/>
      <c r="L248">
        <v>684000</v>
      </c>
      <c r="M248">
        <f t="shared" si="32"/>
        <v>721000</v>
      </c>
      <c r="N248">
        <f t="shared" si="33"/>
        <v>721000</v>
      </c>
      <c r="O248">
        <f t="shared" si="34"/>
        <v>684000</v>
      </c>
      <c r="P248">
        <f t="shared" si="35"/>
        <v>-684000</v>
      </c>
      <c r="Q248" s="30">
        <f>VLOOKUP(B248,Sheet2!$A$15:$G$380,5,FALSE)*S248/10</f>
        <v>0</v>
      </c>
      <c r="R248" s="30">
        <f>VLOOKUP(B248,Sheet2!$A$15:$G$380,7,FALSE)*S248/10</f>
        <v>0</v>
      </c>
      <c r="T248" s="33">
        <f t="shared" si="36"/>
        <v>-1</v>
      </c>
      <c r="U248" s="33">
        <f t="shared" si="37"/>
        <v>-1</v>
      </c>
    </row>
    <row r="249" spans="2:21" x14ac:dyDescent="0.3">
      <c r="B249" s="7">
        <v>45987</v>
      </c>
      <c r="C249" s="8">
        <v>871000</v>
      </c>
      <c r="D249" s="8">
        <v>871000</v>
      </c>
      <c r="E249" s="8">
        <v>859000</v>
      </c>
      <c r="F249" s="8">
        <v>125169</v>
      </c>
      <c r="G249" s="8">
        <v>109454722500</v>
      </c>
      <c r="H249" s="6">
        <f t="shared" si="29"/>
        <v>943000</v>
      </c>
      <c r="I249" s="6">
        <f t="shared" si="30"/>
        <v>874311.85967632988</v>
      </c>
      <c r="J249" s="6">
        <f t="shared" si="31"/>
        <v>871000</v>
      </c>
      <c r="K249" s="6"/>
      <c r="L249">
        <v>684000</v>
      </c>
      <c r="M249">
        <f t="shared" si="32"/>
        <v>731000</v>
      </c>
      <c r="N249">
        <f t="shared" si="33"/>
        <v>731000</v>
      </c>
      <c r="O249">
        <f t="shared" si="34"/>
        <v>684000</v>
      </c>
      <c r="P249">
        <f t="shared" si="35"/>
        <v>-684000</v>
      </c>
      <c r="Q249" s="30">
        <f>VLOOKUP(B249,Sheet2!$A$15:$G$380,5,FALSE)*S249/10</f>
        <v>0</v>
      </c>
      <c r="R249" s="30">
        <f>VLOOKUP(B249,Sheet2!$A$15:$G$380,7,FALSE)*S249/10</f>
        <v>0</v>
      </c>
      <c r="T249" s="33">
        <f t="shared" si="36"/>
        <v>-1</v>
      </c>
      <c r="U249" s="33">
        <f t="shared" si="37"/>
        <v>-1</v>
      </c>
    </row>
    <row r="250" spans="2:21" x14ac:dyDescent="0.3">
      <c r="B250" s="5">
        <v>45988</v>
      </c>
      <c r="C250" s="6">
        <v>863000</v>
      </c>
      <c r="D250" s="6">
        <v>863000</v>
      </c>
      <c r="E250" s="6">
        <v>871000</v>
      </c>
      <c r="F250" s="6">
        <v>198637</v>
      </c>
      <c r="G250" s="6">
        <v>173908230000</v>
      </c>
      <c r="H250" s="6">
        <f t="shared" si="29"/>
        <v>939000</v>
      </c>
      <c r="I250" s="6">
        <f t="shared" si="30"/>
        <v>868208.16852694249</v>
      </c>
      <c r="J250" s="6">
        <f t="shared" si="31"/>
        <v>863000</v>
      </c>
      <c r="K250" s="6"/>
      <c r="L250">
        <v>684000</v>
      </c>
      <c r="M250">
        <f t="shared" si="32"/>
        <v>724000</v>
      </c>
      <c r="N250">
        <f t="shared" si="33"/>
        <v>724000</v>
      </c>
      <c r="O250">
        <f t="shared" si="34"/>
        <v>684000</v>
      </c>
      <c r="P250">
        <f t="shared" si="35"/>
        <v>-684000</v>
      </c>
      <c r="Q250" s="30">
        <f>VLOOKUP(B250,Sheet2!$A$15:$G$380,5,FALSE)*S250/10</f>
        <v>0</v>
      </c>
      <c r="R250" s="30">
        <f>VLOOKUP(B250,Sheet2!$A$15:$G$380,7,FALSE)*S250/10</f>
        <v>0</v>
      </c>
      <c r="T250" s="33">
        <f t="shared" si="36"/>
        <v>-1</v>
      </c>
      <c r="U250" s="33">
        <f t="shared" si="37"/>
        <v>-1</v>
      </c>
    </row>
    <row r="251" spans="2:21" x14ac:dyDescent="0.3">
      <c r="B251" s="5">
        <v>45989</v>
      </c>
      <c r="C251" s="6">
        <v>852000</v>
      </c>
      <c r="D251" s="6">
        <v>852000</v>
      </c>
      <c r="E251" s="6">
        <v>863000</v>
      </c>
      <c r="F251" s="6">
        <v>195233</v>
      </c>
      <c r="G251" s="6">
        <v>165223171500</v>
      </c>
      <c r="H251" s="6">
        <f t="shared" si="29"/>
        <v>935000</v>
      </c>
      <c r="I251" s="6">
        <f t="shared" si="30"/>
        <v>864684.94217517576</v>
      </c>
      <c r="J251" s="6">
        <f t="shared" si="31"/>
        <v>852000</v>
      </c>
      <c r="K251" s="6"/>
      <c r="L251">
        <v>684000</v>
      </c>
      <c r="M251">
        <f t="shared" si="32"/>
        <v>715000</v>
      </c>
      <c r="N251">
        <f t="shared" si="33"/>
        <v>715000</v>
      </c>
      <c r="O251">
        <f t="shared" si="34"/>
        <v>684000</v>
      </c>
      <c r="P251">
        <f t="shared" si="35"/>
        <v>-684000</v>
      </c>
      <c r="Q251" s="30">
        <f>VLOOKUP(B251,Sheet2!$A$15:$G$380,5,FALSE)*S251/10</f>
        <v>0</v>
      </c>
      <c r="R251" s="30">
        <f>VLOOKUP(B251,Sheet2!$A$15:$G$380,7,FALSE)*S251/10</f>
        <v>0</v>
      </c>
      <c r="T251" s="33">
        <f t="shared" si="36"/>
        <v>-1</v>
      </c>
      <c r="U251" s="33">
        <f t="shared" si="37"/>
        <v>-1</v>
      </c>
    </row>
    <row r="252" spans="2:21" x14ac:dyDescent="0.3">
      <c r="B252" s="5">
        <v>45990</v>
      </c>
      <c r="C252" s="6">
        <v>852000</v>
      </c>
      <c r="D252" s="6">
        <v>852000</v>
      </c>
      <c r="E252" s="6">
        <v>863000</v>
      </c>
      <c r="F252" s="6">
        <v>195233</v>
      </c>
      <c r="G252" s="6">
        <v>165223171500</v>
      </c>
      <c r="H252" s="6">
        <f t="shared" ref="H252:H315" si="38">CEILING(SUM(G223:G252)/SUM(F223:F252),1000)</f>
        <v>930000</v>
      </c>
      <c r="I252" s="6">
        <f t="shared" ref="I252:I315" si="39">SUM(G246:G252)/SUM(F246:F252)</f>
        <v>860851.49485782685</v>
      </c>
      <c r="J252" s="6">
        <f t="shared" si="31"/>
        <v>852000</v>
      </c>
      <c r="K252" s="6"/>
      <c r="L252">
        <v>684000</v>
      </c>
      <c r="M252">
        <f t="shared" si="32"/>
        <v>715000</v>
      </c>
      <c r="N252">
        <f t="shared" si="33"/>
        <v>715000</v>
      </c>
      <c r="O252">
        <f t="shared" si="34"/>
        <v>684000</v>
      </c>
      <c r="P252">
        <f t="shared" si="35"/>
        <v>-684000</v>
      </c>
      <c r="Q252" s="30">
        <f>VLOOKUP(B252,Sheet2!$A$15:$G$380,5,FALSE)*S252/10</f>
        <v>0</v>
      </c>
      <c r="R252" s="30">
        <f>VLOOKUP(B252,Sheet2!$A$15:$G$380,7,FALSE)*S252/10</f>
        <v>0</v>
      </c>
      <c r="T252" s="33">
        <f t="shared" si="36"/>
        <v>-1</v>
      </c>
      <c r="U252" s="33">
        <f t="shared" si="37"/>
        <v>-1</v>
      </c>
    </row>
    <row r="253" spans="2:21" x14ac:dyDescent="0.3">
      <c r="B253" s="5">
        <v>45991</v>
      </c>
      <c r="C253" s="6">
        <v>852000</v>
      </c>
      <c r="D253" s="6">
        <v>852000</v>
      </c>
      <c r="E253" s="6">
        <v>863000</v>
      </c>
      <c r="F253" s="6">
        <v>195233</v>
      </c>
      <c r="G253" s="6">
        <v>165223171500</v>
      </c>
      <c r="H253" s="6">
        <f t="shared" si="38"/>
        <v>926000</v>
      </c>
      <c r="I253" s="6">
        <f t="shared" si="39"/>
        <v>856664.9671315616</v>
      </c>
      <c r="J253" s="6">
        <f t="shared" si="31"/>
        <v>852000</v>
      </c>
      <c r="K253" s="6"/>
      <c r="L253">
        <v>684000</v>
      </c>
      <c r="M253">
        <f t="shared" si="32"/>
        <v>715000</v>
      </c>
      <c r="N253">
        <f t="shared" si="33"/>
        <v>715000</v>
      </c>
      <c r="O253">
        <f t="shared" si="34"/>
        <v>684000</v>
      </c>
      <c r="P253">
        <f t="shared" si="35"/>
        <v>-684000</v>
      </c>
      <c r="Q253" s="30">
        <f>VLOOKUP(B253,Sheet2!$A$15:$G$380,5,FALSE)*S253/10</f>
        <v>0</v>
      </c>
      <c r="R253" s="30">
        <f>VLOOKUP(B253,Sheet2!$A$15:$G$380,7,FALSE)*S253/10</f>
        <v>0</v>
      </c>
      <c r="T253" s="33">
        <f t="shared" si="36"/>
        <v>-1</v>
      </c>
      <c r="U253" s="33">
        <f t="shared" si="37"/>
        <v>-1</v>
      </c>
    </row>
    <row r="254" spans="2:21" x14ac:dyDescent="0.3">
      <c r="B254" s="7">
        <v>45992</v>
      </c>
      <c r="C254" s="8">
        <v>813000</v>
      </c>
      <c r="D254" s="8">
        <v>813000</v>
      </c>
      <c r="E254" s="8">
        <v>852000</v>
      </c>
      <c r="F254" s="8">
        <v>318566</v>
      </c>
      <c r="G254" s="8">
        <v>259891219862</v>
      </c>
      <c r="H254" s="6">
        <f t="shared" si="38"/>
        <v>920000</v>
      </c>
      <c r="I254" s="6">
        <f t="shared" si="39"/>
        <v>847424.55658322689</v>
      </c>
      <c r="J254" s="6">
        <f t="shared" si="31"/>
        <v>813000</v>
      </c>
      <c r="K254" s="6"/>
      <c r="L254">
        <v>684000</v>
      </c>
      <c r="M254">
        <f t="shared" si="32"/>
        <v>682000</v>
      </c>
      <c r="N254">
        <f t="shared" si="33"/>
        <v>682000</v>
      </c>
      <c r="O254">
        <f t="shared" si="34"/>
        <v>682000</v>
      </c>
      <c r="P254">
        <f t="shared" si="35"/>
        <v>-682000</v>
      </c>
      <c r="Q254" s="30">
        <f>VLOOKUP(B254,Sheet2!$A$15:$G$380,5,FALSE)*S254/10</f>
        <v>0</v>
      </c>
      <c r="R254" s="30">
        <f>VLOOKUP(B254,Sheet2!$A$15:$G$380,7,FALSE)*S254/10</f>
        <v>0</v>
      </c>
      <c r="T254" s="33">
        <f t="shared" si="36"/>
        <v>-1</v>
      </c>
      <c r="U254" s="33">
        <f t="shared" si="37"/>
        <v>-1</v>
      </c>
    </row>
    <row r="255" spans="2:21" x14ac:dyDescent="0.3">
      <c r="B255" s="5">
        <v>45993</v>
      </c>
      <c r="C255" s="6">
        <v>824000</v>
      </c>
      <c r="D255" s="6">
        <v>824000</v>
      </c>
      <c r="E255" s="6">
        <v>813000</v>
      </c>
      <c r="F255" s="6">
        <v>300231</v>
      </c>
      <c r="G255" s="6">
        <v>242896085118</v>
      </c>
      <c r="H255" s="6">
        <f t="shared" si="38"/>
        <v>913000</v>
      </c>
      <c r="I255" s="6">
        <f t="shared" si="39"/>
        <v>838721.51706927037</v>
      </c>
      <c r="J255" s="6">
        <f t="shared" si="31"/>
        <v>824000</v>
      </c>
      <c r="K255" s="6"/>
      <c r="L255">
        <v>684000</v>
      </c>
      <c r="M255">
        <f t="shared" si="32"/>
        <v>692000</v>
      </c>
      <c r="N255">
        <f t="shared" si="33"/>
        <v>692000</v>
      </c>
      <c r="O255">
        <f t="shared" si="34"/>
        <v>684000</v>
      </c>
      <c r="P255">
        <f t="shared" si="35"/>
        <v>-684000</v>
      </c>
      <c r="Q255" s="30">
        <f>VLOOKUP(B255,Sheet2!$A$15:$G$380,5,FALSE)*S255/10</f>
        <v>0</v>
      </c>
      <c r="R255" s="30">
        <f>VLOOKUP(B255,Sheet2!$A$15:$G$380,7,FALSE)*S255/10</f>
        <v>0</v>
      </c>
      <c r="T255" s="33">
        <f t="shared" si="36"/>
        <v>-1</v>
      </c>
      <c r="U255" s="33">
        <f t="shared" si="37"/>
        <v>-1</v>
      </c>
    </row>
    <row r="256" spans="2:21" x14ac:dyDescent="0.3">
      <c r="B256" s="5">
        <v>45994</v>
      </c>
      <c r="C256" s="6">
        <v>866000</v>
      </c>
      <c r="D256" s="6">
        <v>866000</v>
      </c>
      <c r="E256" s="6">
        <v>824000</v>
      </c>
      <c r="F256" s="6">
        <v>315675</v>
      </c>
      <c r="G256" s="6">
        <v>271475395000</v>
      </c>
      <c r="H256" s="6">
        <f t="shared" si="38"/>
        <v>905000</v>
      </c>
      <c r="I256" s="6">
        <f t="shared" si="39"/>
        <v>840024.27524191188</v>
      </c>
      <c r="J256" s="6">
        <f t="shared" si="31"/>
        <v>866000</v>
      </c>
      <c r="K256" s="6"/>
      <c r="L256">
        <v>684000</v>
      </c>
      <c r="M256">
        <f t="shared" si="32"/>
        <v>727000</v>
      </c>
      <c r="N256">
        <f t="shared" si="33"/>
        <v>727000</v>
      </c>
      <c r="O256">
        <f t="shared" si="34"/>
        <v>684000</v>
      </c>
      <c r="P256">
        <f t="shared" si="35"/>
        <v>-684000</v>
      </c>
      <c r="Q256" s="30">
        <f>VLOOKUP(B256,Sheet2!$A$15:$G$380,5,FALSE)*S256/10</f>
        <v>0</v>
      </c>
      <c r="R256" s="30">
        <f>VLOOKUP(B256,Sheet2!$A$15:$G$380,7,FALSE)*S256/10</f>
        <v>0</v>
      </c>
      <c r="T256" s="33">
        <f t="shared" si="36"/>
        <v>-1</v>
      </c>
      <c r="U256" s="33">
        <f t="shared" si="37"/>
        <v>-1</v>
      </c>
    </row>
    <row r="257" spans="2:21" x14ac:dyDescent="0.3">
      <c r="B257" s="5">
        <v>45995</v>
      </c>
      <c r="C257" s="6">
        <v>855000</v>
      </c>
      <c r="D257" s="6">
        <v>855000</v>
      </c>
      <c r="E257" s="6">
        <v>866000</v>
      </c>
      <c r="F257" s="6">
        <v>110369</v>
      </c>
      <c r="G257" s="6">
        <v>94764463500</v>
      </c>
      <c r="H257" s="6">
        <f t="shared" si="38"/>
        <v>901000</v>
      </c>
      <c r="I257" s="6">
        <f t="shared" si="39"/>
        <v>836959.95067891618</v>
      </c>
      <c r="J257" s="6">
        <f t="shared" si="31"/>
        <v>855000</v>
      </c>
      <c r="K257" s="6"/>
      <c r="L257">
        <v>684000</v>
      </c>
      <c r="M257">
        <f t="shared" si="32"/>
        <v>718000</v>
      </c>
      <c r="N257">
        <f t="shared" si="33"/>
        <v>718000</v>
      </c>
      <c r="O257">
        <f t="shared" si="34"/>
        <v>684000</v>
      </c>
      <c r="P257">
        <f t="shared" si="35"/>
        <v>-684000</v>
      </c>
      <c r="Q257" s="30">
        <f>VLOOKUP(B257,Sheet2!$A$15:$G$380,5,FALSE)*S257/10</f>
        <v>0</v>
      </c>
      <c r="R257" s="30">
        <f>VLOOKUP(B257,Sheet2!$A$15:$G$380,7,FALSE)*S257/10</f>
        <v>0</v>
      </c>
      <c r="T257" s="33">
        <f t="shared" si="36"/>
        <v>-1</v>
      </c>
      <c r="U257" s="33">
        <f t="shared" si="37"/>
        <v>-1</v>
      </c>
    </row>
    <row r="258" spans="2:21" x14ac:dyDescent="0.3">
      <c r="B258" s="5">
        <v>45996</v>
      </c>
      <c r="C258" s="6">
        <v>895000</v>
      </c>
      <c r="D258" s="6">
        <v>895000</v>
      </c>
      <c r="E258" s="6">
        <v>855000</v>
      </c>
      <c r="F258" s="6">
        <v>192198</v>
      </c>
      <c r="G258" s="6">
        <v>168606246800</v>
      </c>
      <c r="H258" s="6">
        <f t="shared" si="38"/>
        <v>897000</v>
      </c>
      <c r="I258" s="6">
        <f t="shared" si="39"/>
        <v>840599.41645647783</v>
      </c>
      <c r="J258" s="6">
        <f t="shared" si="31"/>
        <v>895000</v>
      </c>
      <c r="K258" s="6"/>
      <c r="L258">
        <v>684000</v>
      </c>
      <c r="M258">
        <f t="shared" si="32"/>
        <v>736000</v>
      </c>
      <c r="N258">
        <f t="shared" si="33"/>
        <v>736000</v>
      </c>
      <c r="O258">
        <f t="shared" si="34"/>
        <v>684000</v>
      </c>
      <c r="P258">
        <f t="shared" si="35"/>
        <v>-684000</v>
      </c>
      <c r="Q258" s="30">
        <f>VLOOKUP(B258,Sheet2!$A$15:$G$380,5,FALSE)*S258/10</f>
        <v>0</v>
      </c>
      <c r="R258" s="30">
        <f>VLOOKUP(B258,Sheet2!$A$15:$G$380,7,FALSE)*S258/10</f>
        <v>0</v>
      </c>
      <c r="T258" s="33">
        <f t="shared" si="36"/>
        <v>-1</v>
      </c>
      <c r="U258" s="33">
        <f t="shared" si="37"/>
        <v>-1</v>
      </c>
    </row>
    <row r="259" spans="2:21" x14ac:dyDescent="0.3">
      <c r="B259" s="7">
        <v>45997</v>
      </c>
      <c r="C259" s="8">
        <v>895000</v>
      </c>
      <c r="D259" s="8">
        <v>895000</v>
      </c>
      <c r="E259" s="8">
        <v>855000</v>
      </c>
      <c r="F259" s="8">
        <v>192198</v>
      </c>
      <c r="G259" s="8">
        <v>168606246800</v>
      </c>
      <c r="H259" s="6">
        <f t="shared" si="38"/>
        <v>895000</v>
      </c>
      <c r="I259" s="6">
        <f t="shared" si="39"/>
        <v>844252.48147395765</v>
      </c>
      <c r="J259" s="6">
        <f t="shared" si="31"/>
        <v>895000</v>
      </c>
      <c r="K259" s="6"/>
      <c r="L259">
        <v>684000</v>
      </c>
      <c r="M259">
        <f t="shared" si="32"/>
        <v>737000</v>
      </c>
      <c r="N259">
        <f t="shared" si="33"/>
        <v>737000</v>
      </c>
      <c r="O259">
        <f t="shared" si="34"/>
        <v>684000</v>
      </c>
      <c r="P259">
        <f t="shared" si="35"/>
        <v>-684000</v>
      </c>
      <c r="Q259" s="30">
        <f>VLOOKUP(B259,Sheet2!$A$15:$G$380,5,FALSE)*S259/10</f>
        <v>0</v>
      </c>
      <c r="R259" s="30">
        <f>VLOOKUP(B259,Sheet2!$A$15:$G$380,7,FALSE)*S259/10</f>
        <v>0</v>
      </c>
      <c r="T259" s="33">
        <f t="shared" si="36"/>
        <v>-1</v>
      </c>
      <c r="U259" s="33">
        <f t="shared" si="37"/>
        <v>-1</v>
      </c>
    </row>
    <row r="260" spans="2:21" x14ac:dyDescent="0.3">
      <c r="B260" s="5">
        <v>45998</v>
      </c>
      <c r="C260" s="6">
        <v>895000</v>
      </c>
      <c r="D260" s="6">
        <v>895000</v>
      </c>
      <c r="E260" s="6">
        <v>855000</v>
      </c>
      <c r="F260" s="6">
        <v>192198</v>
      </c>
      <c r="G260" s="6">
        <v>168606246800</v>
      </c>
      <c r="H260" s="6">
        <f t="shared" si="38"/>
        <v>894000</v>
      </c>
      <c r="I260" s="6">
        <f t="shared" si="39"/>
        <v>847919.22209647624</v>
      </c>
      <c r="J260" s="6">
        <f t="shared" si="31"/>
        <v>895000</v>
      </c>
      <c r="K260" s="6"/>
      <c r="L260">
        <v>684000</v>
      </c>
      <c r="M260">
        <f t="shared" si="32"/>
        <v>738000</v>
      </c>
      <c r="N260">
        <f t="shared" si="33"/>
        <v>738000</v>
      </c>
      <c r="O260">
        <f t="shared" si="34"/>
        <v>684000</v>
      </c>
      <c r="P260">
        <f t="shared" si="35"/>
        <v>-684000</v>
      </c>
      <c r="Q260" s="30">
        <f>VLOOKUP(B260,Sheet2!$A$15:$G$380,5,FALSE)*S260/10</f>
        <v>0</v>
      </c>
      <c r="R260" s="30">
        <f>VLOOKUP(B260,Sheet2!$A$15:$G$380,7,FALSE)*S260/10</f>
        <v>0</v>
      </c>
      <c r="T260" s="33">
        <f t="shared" si="36"/>
        <v>-1</v>
      </c>
      <c r="U260" s="33">
        <f t="shared" si="37"/>
        <v>-1</v>
      </c>
    </row>
    <row r="261" spans="2:21" x14ac:dyDescent="0.3">
      <c r="B261" s="5">
        <v>45999</v>
      </c>
      <c r="C261" s="6">
        <v>937000</v>
      </c>
      <c r="D261" s="6">
        <v>937000</v>
      </c>
      <c r="E261" s="6">
        <v>895000</v>
      </c>
      <c r="F261" s="6">
        <v>231159</v>
      </c>
      <c r="G261" s="6">
        <v>214623788500</v>
      </c>
      <c r="H261" s="6">
        <f t="shared" si="38"/>
        <v>894000</v>
      </c>
      <c r="I261" s="6">
        <f t="shared" si="39"/>
        <v>866723.73158638563</v>
      </c>
      <c r="J261" s="6">
        <f t="shared" si="31"/>
        <v>937000</v>
      </c>
      <c r="K261" s="6"/>
      <c r="L261">
        <v>684000</v>
      </c>
      <c r="M261">
        <f t="shared" si="32"/>
        <v>755000</v>
      </c>
      <c r="N261">
        <f t="shared" si="33"/>
        <v>755000</v>
      </c>
      <c r="O261">
        <f t="shared" si="34"/>
        <v>684000</v>
      </c>
      <c r="P261">
        <f t="shared" si="35"/>
        <v>-684000</v>
      </c>
      <c r="Q261" s="30">
        <f>VLOOKUP(B261,Sheet2!$A$15:$G$380,5,FALSE)*S261/10</f>
        <v>0</v>
      </c>
      <c r="R261" s="30">
        <f>VLOOKUP(B261,Sheet2!$A$15:$G$380,7,FALSE)*S261/10</f>
        <v>0</v>
      </c>
      <c r="T261" s="33">
        <f t="shared" si="36"/>
        <v>-1</v>
      </c>
      <c r="U261" s="33">
        <f t="shared" si="37"/>
        <v>-1</v>
      </c>
    </row>
    <row r="262" spans="2:21" x14ac:dyDescent="0.3">
      <c r="B262" s="5">
        <v>46000</v>
      </c>
      <c r="C262" s="6">
        <v>960000</v>
      </c>
      <c r="D262" s="6">
        <v>960000</v>
      </c>
      <c r="E262" s="6">
        <v>937000</v>
      </c>
      <c r="F262" s="6">
        <v>231353</v>
      </c>
      <c r="G262" s="6">
        <v>220996382500</v>
      </c>
      <c r="H262" s="6">
        <f t="shared" si="38"/>
        <v>895000</v>
      </c>
      <c r="I262" s="6">
        <f t="shared" si="39"/>
        <v>892522.11029587418</v>
      </c>
      <c r="J262" s="6">
        <f t="shared" si="31"/>
        <v>960000</v>
      </c>
      <c r="K262" s="6"/>
      <c r="L262">
        <v>684000</v>
      </c>
      <c r="M262">
        <f t="shared" si="32"/>
        <v>769000</v>
      </c>
      <c r="N262">
        <f t="shared" si="33"/>
        <v>769000</v>
      </c>
      <c r="O262">
        <f t="shared" si="34"/>
        <v>684000</v>
      </c>
      <c r="P262">
        <f t="shared" si="35"/>
        <v>-684000</v>
      </c>
      <c r="Q262" s="30">
        <f>VLOOKUP(B262,Sheet2!$A$15:$G$380,5,FALSE)*S262/10</f>
        <v>0</v>
      </c>
      <c r="R262" s="30">
        <f>VLOOKUP(B262,Sheet2!$A$15:$G$380,7,FALSE)*S262/10</f>
        <v>0</v>
      </c>
      <c r="T262" s="33">
        <f t="shared" si="36"/>
        <v>-1</v>
      </c>
      <c r="U262" s="33">
        <f t="shared" si="37"/>
        <v>-1</v>
      </c>
    </row>
    <row r="263" spans="2:21" x14ac:dyDescent="0.3">
      <c r="B263" s="5">
        <v>46001</v>
      </c>
      <c r="C263" s="6">
        <v>923000</v>
      </c>
      <c r="D263" s="6">
        <v>923000</v>
      </c>
      <c r="E263" s="6">
        <v>960000</v>
      </c>
      <c r="F263" s="6">
        <v>155708</v>
      </c>
      <c r="G263" s="6">
        <v>144979368076</v>
      </c>
      <c r="H263" s="6">
        <f t="shared" si="38"/>
        <v>894000</v>
      </c>
      <c r="I263" s="6">
        <f t="shared" si="39"/>
        <v>904993.96864347754</v>
      </c>
      <c r="J263" s="6">
        <f t="shared" si="31"/>
        <v>923000</v>
      </c>
      <c r="K263" s="6"/>
      <c r="L263">
        <v>684000</v>
      </c>
      <c r="M263">
        <f t="shared" si="32"/>
        <v>761000</v>
      </c>
      <c r="N263">
        <f t="shared" si="33"/>
        <v>761000</v>
      </c>
      <c r="O263">
        <f t="shared" si="34"/>
        <v>684000</v>
      </c>
      <c r="P263">
        <f t="shared" si="35"/>
        <v>-684000</v>
      </c>
      <c r="Q263" s="30">
        <f>VLOOKUP(B263,Sheet2!$A$15:$G$380,5,FALSE)*S263/10</f>
        <v>0</v>
      </c>
      <c r="R263" s="30">
        <f>VLOOKUP(B263,Sheet2!$A$15:$G$380,7,FALSE)*S263/10</f>
        <v>0</v>
      </c>
      <c r="T263" s="33">
        <f t="shared" si="36"/>
        <v>-1</v>
      </c>
      <c r="U263" s="33">
        <f t="shared" si="37"/>
        <v>-1</v>
      </c>
    </row>
    <row r="264" spans="2:21" x14ac:dyDescent="0.3">
      <c r="B264" s="7">
        <v>46002</v>
      </c>
      <c r="C264" s="8">
        <v>904000</v>
      </c>
      <c r="D264" s="8">
        <v>904000</v>
      </c>
      <c r="E264" s="8">
        <v>923000</v>
      </c>
      <c r="F264" s="8">
        <v>242560</v>
      </c>
      <c r="G264" s="8">
        <v>220239203500</v>
      </c>
      <c r="H264" s="6">
        <f t="shared" si="38"/>
        <v>893000</v>
      </c>
      <c r="I264" s="6">
        <f t="shared" si="39"/>
        <v>909058.79957199725</v>
      </c>
      <c r="J264" s="6">
        <f t="shared" si="31"/>
        <v>904000</v>
      </c>
      <c r="K264" s="6"/>
      <c r="L264">
        <v>684000</v>
      </c>
      <c r="M264">
        <f t="shared" si="32"/>
        <v>757000</v>
      </c>
      <c r="N264">
        <f t="shared" si="33"/>
        <v>757000</v>
      </c>
      <c r="O264">
        <f t="shared" si="34"/>
        <v>684000</v>
      </c>
      <c r="P264">
        <f t="shared" si="35"/>
        <v>-684000</v>
      </c>
      <c r="Q264" s="30">
        <f>VLOOKUP(B264,Sheet2!$A$15:$G$380,5,FALSE)*S264/10</f>
        <v>0</v>
      </c>
      <c r="R264" s="30">
        <f>VLOOKUP(B264,Sheet2!$A$15:$G$380,7,FALSE)*S264/10</f>
        <v>0</v>
      </c>
      <c r="T264" s="33">
        <f t="shared" si="36"/>
        <v>-1</v>
      </c>
      <c r="U264" s="33">
        <f t="shared" si="37"/>
        <v>-1</v>
      </c>
    </row>
    <row r="265" spans="2:21" x14ac:dyDescent="0.3">
      <c r="B265" s="5">
        <v>46003</v>
      </c>
      <c r="C265" s="6">
        <v>961000</v>
      </c>
      <c r="D265" s="6">
        <v>961000</v>
      </c>
      <c r="E265" s="6">
        <v>904000</v>
      </c>
      <c r="F265" s="6">
        <v>268675</v>
      </c>
      <c r="G265" s="6">
        <v>255033197500</v>
      </c>
      <c r="H265" s="6">
        <f t="shared" si="38"/>
        <v>894000</v>
      </c>
      <c r="I265" s="6">
        <f t="shared" si="39"/>
        <v>920225.59266136494</v>
      </c>
      <c r="J265" s="6">
        <f t="shared" si="31"/>
        <v>961000</v>
      </c>
      <c r="K265" s="6"/>
      <c r="L265">
        <v>684000</v>
      </c>
      <c r="M265">
        <f t="shared" si="32"/>
        <v>776000</v>
      </c>
      <c r="N265">
        <f t="shared" si="33"/>
        <v>776000</v>
      </c>
      <c r="O265">
        <f t="shared" si="34"/>
        <v>684000</v>
      </c>
      <c r="P265">
        <f t="shared" si="35"/>
        <v>-684000</v>
      </c>
      <c r="Q265" s="30">
        <f>VLOOKUP(B265,Sheet2!$A$15:$G$380,5,FALSE)*S265/10</f>
        <v>0</v>
      </c>
      <c r="R265" s="30">
        <f>VLOOKUP(B265,Sheet2!$A$15:$G$380,7,FALSE)*S265/10</f>
        <v>0</v>
      </c>
      <c r="T265" s="33">
        <f t="shared" si="36"/>
        <v>-1</v>
      </c>
      <c r="U265" s="33">
        <f t="shared" si="37"/>
        <v>-1</v>
      </c>
    </row>
    <row r="266" spans="2:21" x14ac:dyDescent="0.3">
      <c r="B266" s="5">
        <v>46004</v>
      </c>
      <c r="C266" s="6">
        <v>961000</v>
      </c>
      <c r="D266" s="6">
        <v>961000</v>
      </c>
      <c r="E266" s="6">
        <v>904000</v>
      </c>
      <c r="F266" s="6">
        <v>268675</v>
      </c>
      <c r="G266" s="6">
        <v>255033197500</v>
      </c>
      <c r="H266" s="6">
        <f t="shared" si="38"/>
        <v>895000</v>
      </c>
      <c r="I266" s="6">
        <f t="shared" si="39"/>
        <v>930318.38990195736</v>
      </c>
      <c r="J266" s="6">
        <f t="shared" si="31"/>
        <v>961000</v>
      </c>
      <c r="K266" s="6"/>
      <c r="L266">
        <v>684000</v>
      </c>
      <c r="M266">
        <f t="shared" si="32"/>
        <v>779000</v>
      </c>
      <c r="N266">
        <f t="shared" si="33"/>
        <v>779000</v>
      </c>
      <c r="O266">
        <f t="shared" si="34"/>
        <v>684000</v>
      </c>
      <c r="P266">
        <f t="shared" si="35"/>
        <v>-684000</v>
      </c>
      <c r="Q266" s="30">
        <f>VLOOKUP(B266,Sheet2!$A$15:$G$380,5,FALSE)*S266/10</f>
        <v>0</v>
      </c>
      <c r="R266" s="30">
        <f>VLOOKUP(B266,Sheet2!$A$15:$G$380,7,FALSE)*S266/10</f>
        <v>0</v>
      </c>
      <c r="T266" s="33">
        <f t="shared" si="36"/>
        <v>-1</v>
      </c>
      <c r="U266" s="33">
        <f t="shared" si="37"/>
        <v>-1</v>
      </c>
    </row>
    <row r="267" spans="2:21" x14ac:dyDescent="0.3">
      <c r="B267" s="5">
        <v>46005</v>
      </c>
      <c r="C267" s="6">
        <v>961000</v>
      </c>
      <c r="D267" s="6">
        <v>961000</v>
      </c>
      <c r="E267" s="6">
        <v>904000</v>
      </c>
      <c r="F267" s="6">
        <v>268675</v>
      </c>
      <c r="G267" s="6">
        <v>255033197500</v>
      </c>
      <c r="H267" s="6">
        <f t="shared" si="38"/>
        <v>895000</v>
      </c>
      <c r="I267" s="6">
        <f t="shared" si="39"/>
        <v>939485.02378862549</v>
      </c>
      <c r="J267" s="6">
        <f t="shared" si="31"/>
        <v>961000</v>
      </c>
      <c r="K267" s="6"/>
      <c r="L267">
        <v>684000</v>
      </c>
      <c r="M267">
        <f t="shared" si="32"/>
        <v>782000</v>
      </c>
      <c r="N267">
        <f t="shared" si="33"/>
        <v>782000</v>
      </c>
      <c r="O267">
        <f t="shared" si="34"/>
        <v>684000</v>
      </c>
      <c r="P267">
        <f t="shared" si="35"/>
        <v>-684000</v>
      </c>
      <c r="Q267" s="30">
        <f>VLOOKUP(B267,Sheet2!$A$15:$G$380,5,FALSE)*S267/10</f>
        <v>0</v>
      </c>
      <c r="R267" s="30">
        <f>VLOOKUP(B267,Sheet2!$A$15:$G$380,7,FALSE)*S267/10</f>
        <v>0</v>
      </c>
      <c r="T267" s="33">
        <f t="shared" si="36"/>
        <v>-1</v>
      </c>
      <c r="U267" s="33">
        <f t="shared" si="37"/>
        <v>-1</v>
      </c>
    </row>
    <row r="268" spans="2:21" x14ac:dyDescent="0.3">
      <c r="B268" s="5">
        <v>46006</v>
      </c>
      <c r="C268" s="6">
        <v>908000</v>
      </c>
      <c r="D268" s="6">
        <v>908000</v>
      </c>
      <c r="E268" s="6">
        <v>961000</v>
      </c>
      <c r="F268" s="6">
        <v>144644</v>
      </c>
      <c r="G268" s="6">
        <v>132623293000</v>
      </c>
      <c r="H268" s="6">
        <f t="shared" si="38"/>
        <v>893000</v>
      </c>
      <c r="I268" s="6">
        <f t="shared" si="39"/>
        <v>939028.81089926534</v>
      </c>
      <c r="J268" s="6">
        <f t="shared" si="31"/>
        <v>908000</v>
      </c>
      <c r="K268" s="6"/>
      <c r="L268">
        <v>684000</v>
      </c>
      <c r="M268">
        <f t="shared" si="32"/>
        <v>762000</v>
      </c>
      <c r="N268">
        <f t="shared" si="33"/>
        <v>762000</v>
      </c>
      <c r="O268">
        <f t="shared" si="34"/>
        <v>684000</v>
      </c>
      <c r="P268">
        <f t="shared" si="35"/>
        <v>-684000</v>
      </c>
      <c r="Q268" s="30">
        <f>VLOOKUP(B268,Sheet2!$A$15:$G$380,5,FALSE)*S268/10</f>
        <v>0</v>
      </c>
      <c r="R268" s="30">
        <f>VLOOKUP(B268,Sheet2!$A$15:$G$380,7,FALSE)*S268/10</f>
        <v>0</v>
      </c>
      <c r="T268" s="33">
        <f t="shared" si="36"/>
        <v>-1</v>
      </c>
      <c r="U268" s="33">
        <f t="shared" si="37"/>
        <v>-1</v>
      </c>
    </row>
    <row r="269" spans="2:21" x14ac:dyDescent="0.3">
      <c r="B269" s="7">
        <v>46007</v>
      </c>
      <c r="C269" s="8">
        <v>875000</v>
      </c>
      <c r="D269" s="8">
        <v>875000</v>
      </c>
      <c r="E269" s="8">
        <v>908000</v>
      </c>
      <c r="F269" s="8">
        <v>207445</v>
      </c>
      <c r="G269" s="8">
        <v>182357213500</v>
      </c>
      <c r="H269" s="6">
        <f t="shared" si="38"/>
        <v>890000</v>
      </c>
      <c r="I269" s="6">
        <f t="shared" si="39"/>
        <v>928627.20757243398</v>
      </c>
      <c r="J269" s="6">
        <f t="shared" si="31"/>
        <v>875000</v>
      </c>
      <c r="K269" s="6"/>
      <c r="L269">
        <v>684000</v>
      </c>
      <c r="M269">
        <f t="shared" si="32"/>
        <v>734000</v>
      </c>
      <c r="N269">
        <f t="shared" si="33"/>
        <v>734000</v>
      </c>
      <c r="O269">
        <f t="shared" si="34"/>
        <v>684000</v>
      </c>
      <c r="P269">
        <f t="shared" si="35"/>
        <v>-684000</v>
      </c>
      <c r="Q269" s="30">
        <f>VLOOKUP(B269,Sheet2!$A$15:$G$380,5,FALSE)*S269/10</f>
        <v>0</v>
      </c>
      <c r="R269" s="30">
        <f>VLOOKUP(B269,Sheet2!$A$15:$G$380,7,FALSE)*S269/10</f>
        <v>0</v>
      </c>
      <c r="T269" s="33">
        <f t="shared" si="36"/>
        <v>-1</v>
      </c>
      <c r="U269" s="33">
        <f t="shared" si="37"/>
        <v>-1</v>
      </c>
    </row>
    <row r="270" spans="2:21" x14ac:dyDescent="0.3">
      <c r="B270" s="5">
        <v>46008</v>
      </c>
      <c r="C270" s="6">
        <v>870000</v>
      </c>
      <c r="D270" s="6">
        <v>870000</v>
      </c>
      <c r="E270" s="6">
        <v>875000</v>
      </c>
      <c r="F270" s="6">
        <v>94698</v>
      </c>
      <c r="G270" s="6">
        <v>83135499500</v>
      </c>
      <c r="H270" s="6">
        <f t="shared" si="38"/>
        <v>888000</v>
      </c>
      <c r="I270" s="6">
        <f t="shared" si="39"/>
        <v>925157.62097993004</v>
      </c>
      <c r="J270" s="6">
        <f t="shared" si="31"/>
        <v>870000</v>
      </c>
      <c r="K270" s="6"/>
      <c r="L270">
        <v>684000</v>
      </c>
      <c r="M270">
        <f t="shared" si="32"/>
        <v>730000</v>
      </c>
      <c r="N270">
        <f t="shared" si="33"/>
        <v>730000</v>
      </c>
      <c r="O270">
        <f t="shared" si="34"/>
        <v>684000</v>
      </c>
      <c r="P270">
        <f t="shared" si="35"/>
        <v>-684000</v>
      </c>
      <c r="Q270" s="30">
        <f>VLOOKUP(B270,Sheet2!$A$15:$G$380,5,FALSE)*S270/10</f>
        <v>0</v>
      </c>
      <c r="R270" s="30">
        <f>VLOOKUP(B270,Sheet2!$A$15:$G$380,7,FALSE)*S270/10</f>
        <v>0</v>
      </c>
      <c r="T270" s="33">
        <f t="shared" si="36"/>
        <v>-1</v>
      </c>
      <c r="U270" s="33">
        <f t="shared" si="37"/>
        <v>-1</v>
      </c>
    </row>
    <row r="271" spans="2:21" x14ac:dyDescent="0.3">
      <c r="B271" s="5">
        <v>46009</v>
      </c>
      <c r="C271" s="6">
        <v>851000</v>
      </c>
      <c r="D271" s="6">
        <v>851000</v>
      </c>
      <c r="E271" s="6">
        <v>870000</v>
      </c>
      <c r="F271" s="6">
        <v>115140</v>
      </c>
      <c r="G271" s="6">
        <v>98487323000</v>
      </c>
      <c r="H271" s="6">
        <f t="shared" si="38"/>
        <v>885000</v>
      </c>
      <c r="I271" s="6">
        <f t="shared" si="39"/>
        <v>922329.81968665565</v>
      </c>
      <c r="J271" s="6">
        <f t="shared" si="31"/>
        <v>851000</v>
      </c>
      <c r="K271" s="6"/>
      <c r="L271">
        <v>684000</v>
      </c>
      <c r="M271">
        <f t="shared" si="32"/>
        <v>714000</v>
      </c>
      <c r="N271">
        <f t="shared" si="33"/>
        <v>714000</v>
      </c>
      <c r="O271">
        <f t="shared" si="34"/>
        <v>684000</v>
      </c>
      <c r="P271">
        <f t="shared" si="35"/>
        <v>-684000</v>
      </c>
      <c r="Q271" s="30">
        <f>VLOOKUP(B271,Sheet2!$A$15:$G$380,5,FALSE)*S271/10</f>
        <v>0</v>
      </c>
      <c r="R271" s="30">
        <f>VLOOKUP(B271,Sheet2!$A$15:$G$380,7,FALSE)*S271/10</f>
        <v>0</v>
      </c>
      <c r="T271" s="33">
        <f t="shared" si="36"/>
        <v>-1</v>
      </c>
      <c r="U271" s="33">
        <f t="shared" si="37"/>
        <v>-1</v>
      </c>
    </row>
    <row r="272" spans="2:21" x14ac:dyDescent="0.3">
      <c r="B272" s="5">
        <v>46010</v>
      </c>
      <c r="C272" s="6">
        <v>884000</v>
      </c>
      <c r="D272" s="6">
        <v>884000</v>
      </c>
      <c r="E272" s="6">
        <v>851000</v>
      </c>
      <c r="F272" s="6">
        <v>208385</v>
      </c>
      <c r="G272" s="6">
        <v>184973816000</v>
      </c>
      <c r="H272" s="6">
        <f t="shared" si="38"/>
        <v>884000</v>
      </c>
      <c r="I272" s="6">
        <f t="shared" si="39"/>
        <v>911277.94491237029</v>
      </c>
      <c r="J272" s="6">
        <f t="shared" si="31"/>
        <v>884000</v>
      </c>
      <c r="K272" s="6"/>
      <c r="L272">
        <v>684000</v>
      </c>
      <c r="M272">
        <f t="shared" si="32"/>
        <v>742000</v>
      </c>
      <c r="N272">
        <f t="shared" si="33"/>
        <v>742000</v>
      </c>
      <c r="O272">
        <f t="shared" si="34"/>
        <v>684000</v>
      </c>
      <c r="P272">
        <f t="shared" si="35"/>
        <v>-684000</v>
      </c>
      <c r="Q272" s="30">
        <f>VLOOKUP(B272,Sheet2!$A$15:$G$380,5,FALSE)*S272/10</f>
        <v>0</v>
      </c>
      <c r="R272" s="30">
        <f>VLOOKUP(B272,Sheet2!$A$15:$G$380,7,FALSE)*S272/10</f>
        <v>0</v>
      </c>
      <c r="T272" s="33">
        <f t="shared" si="36"/>
        <v>-1</v>
      </c>
      <c r="U272" s="33">
        <f t="shared" si="37"/>
        <v>-1</v>
      </c>
    </row>
    <row r="273" spans="2:21" x14ac:dyDescent="0.3">
      <c r="B273" s="5">
        <v>46011</v>
      </c>
      <c r="C273" s="6">
        <v>884000</v>
      </c>
      <c r="D273" s="6">
        <v>884000</v>
      </c>
      <c r="E273" s="6">
        <v>851000</v>
      </c>
      <c r="F273" s="6">
        <v>208385</v>
      </c>
      <c r="G273" s="6">
        <v>184973816000</v>
      </c>
      <c r="H273" s="6">
        <f t="shared" si="38"/>
        <v>883000</v>
      </c>
      <c r="I273" s="6">
        <f t="shared" si="39"/>
        <v>899157.71598208067</v>
      </c>
      <c r="J273" s="6">
        <f t="shared" si="31"/>
        <v>884000</v>
      </c>
      <c r="K273" s="6"/>
      <c r="L273">
        <v>684000</v>
      </c>
      <c r="M273">
        <f t="shared" si="32"/>
        <v>742000</v>
      </c>
      <c r="N273">
        <f t="shared" si="33"/>
        <v>742000</v>
      </c>
      <c r="O273">
        <f t="shared" si="34"/>
        <v>684000</v>
      </c>
      <c r="P273">
        <f t="shared" si="35"/>
        <v>-684000</v>
      </c>
      <c r="Q273" s="30">
        <f>VLOOKUP(B273,Sheet2!$A$15:$G$380,5,FALSE)*S273/10</f>
        <v>0</v>
      </c>
      <c r="R273" s="30">
        <f>VLOOKUP(B273,Sheet2!$A$15:$G$380,7,FALSE)*S273/10</f>
        <v>0</v>
      </c>
      <c r="T273" s="33">
        <f t="shared" si="36"/>
        <v>-1</v>
      </c>
      <c r="U273" s="33">
        <f t="shared" si="37"/>
        <v>-1</v>
      </c>
    </row>
    <row r="274" spans="2:21" x14ac:dyDescent="0.3">
      <c r="B274" s="7">
        <v>46012</v>
      </c>
      <c r="C274" s="8">
        <v>884000</v>
      </c>
      <c r="D274" s="8">
        <v>884000</v>
      </c>
      <c r="E274" s="8">
        <v>851000</v>
      </c>
      <c r="F274" s="8">
        <v>208385</v>
      </c>
      <c r="G274" s="8">
        <v>184973816000</v>
      </c>
      <c r="H274" s="6">
        <f t="shared" si="38"/>
        <v>883000</v>
      </c>
      <c r="I274" s="6">
        <f t="shared" si="39"/>
        <v>885806.3528888484</v>
      </c>
      <c r="J274" s="6">
        <f t="shared" si="31"/>
        <v>884000</v>
      </c>
      <c r="K274" s="6"/>
      <c r="L274">
        <v>684000</v>
      </c>
      <c r="M274">
        <f t="shared" si="32"/>
        <v>742000</v>
      </c>
      <c r="N274">
        <f t="shared" si="33"/>
        <v>742000</v>
      </c>
      <c r="O274">
        <f t="shared" si="34"/>
        <v>684000</v>
      </c>
      <c r="P274">
        <f t="shared" si="35"/>
        <v>-684000</v>
      </c>
      <c r="Q274" s="30">
        <f>VLOOKUP(B274,Sheet2!$A$15:$G$380,5,FALSE)*S274/10</f>
        <v>0</v>
      </c>
      <c r="R274" s="30">
        <f>VLOOKUP(B274,Sheet2!$A$15:$G$380,7,FALSE)*S274/10</f>
        <v>0</v>
      </c>
      <c r="T274" s="33">
        <f t="shared" si="36"/>
        <v>-1</v>
      </c>
      <c r="U274" s="33">
        <f t="shared" si="37"/>
        <v>-1</v>
      </c>
    </row>
    <row r="275" spans="2:21" x14ac:dyDescent="0.3">
      <c r="B275" s="5">
        <v>46013</v>
      </c>
      <c r="C275" s="6">
        <v>886000</v>
      </c>
      <c r="D275" s="6">
        <v>886000</v>
      </c>
      <c r="E275" s="6">
        <v>884000</v>
      </c>
      <c r="F275" s="6">
        <v>107353</v>
      </c>
      <c r="G275" s="6">
        <v>95907891000</v>
      </c>
      <c r="H275" s="6">
        <f t="shared" si="38"/>
        <v>884000</v>
      </c>
      <c r="I275" s="6">
        <f t="shared" si="39"/>
        <v>882603.33834583848</v>
      </c>
      <c r="J275" s="6">
        <f t="shared" si="31"/>
        <v>886000</v>
      </c>
      <c r="K275" s="6"/>
      <c r="L275">
        <v>684000</v>
      </c>
      <c r="M275">
        <f t="shared" si="32"/>
        <v>742000</v>
      </c>
      <c r="N275">
        <f t="shared" si="33"/>
        <v>742000</v>
      </c>
      <c r="O275">
        <f t="shared" si="34"/>
        <v>684000</v>
      </c>
      <c r="P275">
        <f t="shared" si="35"/>
        <v>-684000</v>
      </c>
      <c r="Q275" s="30">
        <f>VLOOKUP(B275,Sheet2!$A$15:$G$380,5,FALSE)*S275/10</f>
        <v>0</v>
      </c>
      <c r="R275" s="30">
        <f>VLOOKUP(B275,Sheet2!$A$15:$G$380,7,FALSE)*S275/10</f>
        <v>0</v>
      </c>
      <c r="T275" s="33">
        <f t="shared" si="36"/>
        <v>-1</v>
      </c>
      <c r="U275" s="33">
        <f t="shared" si="37"/>
        <v>-1</v>
      </c>
    </row>
    <row r="276" spans="2:21" x14ac:dyDescent="0.3">
      <c r="B276" s="5">
        <v>46014</v>
      </c>
      <c r="C276" s="6">
        <v>900000</v>
      </c>
      <c r="D276" s="6">
        <v>900000</v>
      </c>
      <c r="E276" s="6">
        <v>886000</v>
      </c>
      <c r="F276" s="6">
        <v>88326</v>
      </c>
      <c r="G276" s="6">
        <v>79204982500</v>
      </c>
      <c r="H276" s="6">
        <f t="shared" si="38"/>
        <v>885000</v>
      </c>
      <c r="I276" s="6">
        <f t="shared" si="39"/>
        <v>884526.93388391263</v>
      </c>
      <c r="J276" s="6">
        <f t="shared" si="31"/>
        <v>900000</v>
      </c>
      <c r="K276" s="6"/>
      <c r="L276">
        <v>684000</v>
      </c>
      <c r="M276">
        <f t="shared" si="32"/>
        <v>747000</v>
      </c>
      <c r="N276">
        <f t="shared" si="33"/>
        <v>747000</v>
      </c>
      <c r="O276">
        <f t="shared" si="34"/>
        <v>684000</v>
      </c>
      <c r="P276">
        <f t="shared" si="35"/>
        <v>-684000</v>
      </c>
      <c r="Q276" s="30">
        <f>VLOOKUP(B276,Sheet2!$A$15:$G$380,5,FALSE)*S276/10</f>
        <v>0</v>
      </c>
      <c r="R276" s="30">
        <f>VLOOKUP(B276,Sheet2!$A$15:$G$380,7,FALSE)*S276/10</f>
        <v>0</v>
      </c>
      <c r="T276" s="33">
        <f t="shared" si="36"/>
        <v>-1</v>
      </c>
      <c r="U276" s="33">
        <f t="shared" si="37"/>
        <v>-1</v>
      </c>
    </row>
    <row r="277" spans="2:21" x14ac:dyDescent="0.3">
      <c r="B277" s="5">
        <v>46015</v>
      </c>
      <c r="C277" s="6">
        <v>878000</v>
      </c>
      <c r="D277" s="6">
        <v>878000</v>
      </c>
      <c r="E277" s="6">
        <v>900000</v>
      </c>
      <c r="F277" s="6">
        <v>103248</v>
      </c>
      <c r="G277" s="6">
        <v>91343786000</v>
      </c>
      <c r="H277" s="6">
        <f t="shared" si="38"/>
        <v>886000</v>
      </c>
      <c r="I277" s="6">
        <f t="shared" si="39"/>
        <v>885148.14976973156</v>
      </c>
      <c r="J277" s="6">
        <f t="shared" si="31"/>
        <v>878000</v>
      </c>
      <c r="K277" s="6"/>
      <c r="L277">
        <v>684000</v>
      </c>
      <c r="M277">
        <f t="shared" si="32"/>
        <v>737000</v>
      </c>
      <c r="N277">
        <f t="shared" si="33"/>
        <v>737000</v>
      </c>
      <c r="O277">
        <f t="shared" si="34"/>
        <v>684000</v>
      </c>
      <c r="P277">
        <f t="shared" si="35"/>
        <v>-684000</v>
      </c>
      <c r="Q277" s="30">
        <f>VLOOKUP(B277,Sheet2!$A$15:$G$380,5,FALSE)*S277/10</f>
        <v>0</v>
      </c>
      <c r="R277" s="30">
        <f>VLOOKUP(B277,Sheet2!$A$15:$G$380,7,FALSE)*S277/10</f>
        <v>0</v>
      </c>
      <c r="T277" s="33">
        <f t="shared" si="36"/>
        <v>-1</v>
      </c>
      <c r="U277" s="33">
        <f t="shared" si="37"/>
        <v>-1</v>
      </c>
    </row>
    <row r="278" spans="2:21" x14ac:dyDescent="0.3">
      <c r="B278" s="5">
        <v>46016</v>
      </c>
      <c r="C278" s="6">
        <v>878000</v>
      </c>
      <c r="D278" s="6">
        <v>878000</v>
      </c>
      <c r="E278" s="6">
        <v>900000</v>
      </c>
      <c r="F278" s="6">
        <v>103248</v>
      </c>
      <c r="G278" s="6">
        <v>91343786000</v>
      </c>
      <c r="H278" s="6">
        <f t="shared" si="38"/>
        <v>887000</v>
      </c>
      <c r="I278" s="6">
        <f t="shared" si="39"/>
        <v>888440.80626478349</v>
      </c>
      <c r="J278" s="6">
        <f t="shared" si="31"/>
        <v>878000</v>
      </c>
      <c r="K278" s="6"/>
      <c r="L278">
        <v>684000</v>
      </c>
      <c r="M278">
        <f t="shared" si="32"/>
        <v>737000</v>
      </c>
      <c r="N278">
        <f t="shared" si="33"/>
        <v>737000</v>
      </c>
      <c r="O278">
        <f t="shared" si="34"/>
        <v>684000</v>
      </c>
      <c r="P278">
        <f t="shared" si="35"/>
        <v>-684000</v>
      </c>
      <c r="Q278" s="30">
        <f>VLOOKUP(B278,Sheet2!$A$15:$G$380,5,FALSE)*S278/10</f>
        <v>0</v>
      </c>
      <c r="R278" s="30">
        <f>VLOOKUP(B278,Sheet2!$A$15:$G$380,7,FALSE)*S278/10</f>
        <v>0</v>
      </c>
      <c r="T278" s="33">
        <f t="shared" si="36"/>
        <v>-1</v>
      </c>
      <c r="U278" s="33">
        <f t="shared" si="37"/>
        <v>-1</v>
      </c>
    </row>
    <row r="279" spans="2:21" x14ac:dyDescent="0.3">
      <c r="B279" s="7">
        <v>46017</v>
      </c>
      <c r="C279" s="8">
        <v>870000</v>
      </c>
      <c r="D279" s="8">
        <v>870000</v>
      </c>
      <c r="E279" s="8">
        <v>878000</v>
      </c>
      <c r="F279" s="8">
        <v>102783</v>
      </c>
      <c r="G279" s="8">
        <v>90109680000</v>
      </c>
      <c r="H279" s="6">
        <f t="shared" si="38"/>
        <v>887000</v>
      </c>
      <c r="I279" s="6">
        <f t="shared" si="39"/>
        <v>887309.2251727191</v>
      </c>
      <c r="J279" s="6">
        <f t="shared" si="31"/>
        <v>870000</v>
      </c>
      <c r="K279" s="6"/>
      <c r="L279">
        <v>684000</v>
      </c>
      <c r="M279">
        <f t="shared" si="32"/>
        <v>730000</v>
      </c>
      <c r="N279">
        <f t="shared" si="33"/>
        <v>730000</v>
      </c>
      <c r="O279">
        <f t="shared" si="34"/>
        <v>684000</v>
      </c>
      <c r="P279">
        <f t="shared" si="35"/>
        <v>-684000</v>
      </c>
      <c r="Q279" s="30">
        <f>VLOOKUP(B279,Sheet2!$A$15:$G$380,5,FALSE)*S279/10</f>
        <v>0</v>
      </c>
      <c r="R279" s="30">
        <f>VLOOKUP(B279,Sheet2!$A$15:$G$380,7,FALSE)*S279/10</f>
        <v>0</v>
      </c>
      <c r="T279" s="33">
        <f t="shared" si="36"/>
        <v>-1</v>
      </c>
      <c r="U279" s="33">
        <f t="shared" si="37"/>
        <v>-1</v>
      </c>
    </row>
    <row r="280" spans="2:21" x14ac:dyDescent="0.3">
      <c r="B280" s="5">
        <v>46018</v>
      </c>
      <c r="C280" s="6">
        <v>870000</v>
      </c>
      <c r="D280" s="6">
        <v>870000</v>
      </c>
      <c r="E280" s="6">
        <v>878000</v>
      </c>
      <c r="F280" s="6">
        <v>102783</v>
      </c>
      <c r="G280" s="6">
        <v>90109680000</v>
      </c>
      <c r="H280" s="6">
        <f t="shared" si="38"/>
        <v>887000</v>
      </c>
      <c r="I280" s="6">
        <f t="shared" si="39"/>
        <v>885884.80393958779</v>
      </c>
      <c r="J280" s="6">
        <f t="shared" si="31"/>
        <v>870000</v>
      </c>
      <c r="K280" s="6"/>
      <c r="L280">
        <v>684000</v>
      </c>
      <c r="M280">
        <f t="shared" si="32"/>
        <v>730000</v>
      </c>
      <c r="N280">
        <f t="shared" si="33"/>
        <v>730000</v>
      </c>
      <c r="O280">
        <f t="shared" si="34"/>
        <v>684000</v>
      </c>
      <c r="P280">
        <f t="shared" si="35"/>
        <v>-684000</v>
      </c>
      <c r="Q280" s="30">
        <f>VLOOKUP(B280,Sheet2!$A$15:$G$380,5,FALSE)*S280/10</f>
        <v>0</v>
      </c>
      <c r="R280" s="30">
        <f>VLOOKUP(B280,Sheet2!$A$15:$G$380,7,FALSE)*S280/10</f>
        <v>0</v>
      </c>
      <c r="T280" s="33">
        <f t="shared" si="36"/>
        <v>-1</v>
      </c>
      <c r="U280" s="33">
        <f t="shared" si="37"/>
        <v>-1</v>
      </c>
    </row>
    <row r="281" spans="2:21" x14ac:dyDescent="0.3">
      <c r="B281" s="5">
        <v>46019</v>
      </c>
      <c r="C281" s="6">
        <v>870000</v>
      </c>
      <c r="D281" s="6">
        <v>870000</v>
      </c>
      <c r="E281" s="6">
        <v>878000</v>
      </c>
      <c r="F281" s="6">
        <v>102783</v>
      </c>
      <c r="G281" s="6">
        <v>90109680000</v>
      </c>
      <c r="H281" s="6">
        <f t="shared" si="38"/>
        <v>888000</v>
      </c>
      <c r="I281" s="6">
        <f t="shared" si="39"/>
        <v>884036.97200939024</v>
      </c>
      <c r="J281" s="6">
        <f t="shared" si="31"/>
        <v>870000</v>
      </c>
      <c r="K281" s="6"/>
      <c r="L281">
        <v>684000</v>
      </c>
      <c r="M281">
        <f t="shared" si="32"/>
        <v>730000</v>
      </c>
      <c r="N281">
        <f t="shared" si="33"/>
        <v>730000</v>
      </c>
      <c r="O281">
        <f t="shared" si="34"/>
        <v>684000</v>
      </c>
      <c r="P281">
        <f t="shared" si="35"/>
        <v>-684000</v>
      </c>
      <c r="Q281" s="30">
        <f>VLOOKUP(B281,Sheet2!$A$15:$G$380,5,FALSE)*S281/10</f>
        <v>0</v>
      </c>
      <c r="R281" s="30">
        <f>VLOOKUP(B281,Sheet2!$A$15:$G$380,7,FALSE)*S281/10</f>
        <v>0</v>
      </c>
      <c r="T281" s="33">
        <f t="shared" si="36"/>
        <v>-1</v>
      </c>
      <c r="U281" s="33">
        <f t="shared" si="37"/>
        <v>-1</v>
      </c>
    </row>
    <row r="282" spans="2:21" x14ac:dyDescent="0.3">
      <c r="B282" s="5">
        <v>46020</v>
      </c>
      <c r="C282" s="6">
        <v>949000</v>
      </c>
      <c r="D282" s="6">
        <v>949000</v>
      </c>
      <c r="E282" s="6">
        <v>870000</v>
      </c>
      <c r="F282" s="6">
        <v>339928</v>
      </c>
      <c r="G282" s="6">
        <v>318963888628</v>
      </c>
      <c r="H282" s="6">
        <f t="shared" si="38"/>
        <v>893000</v>
      </c>
      <c r="I282" s="6">
        <f t="shared" si="39"/>
        <v>902540.96667263983</v>
      </c>
      <c r="J282" s="6">
        <f t="shared" si="31"/>
        <v>949000</v>
      </c>
      <c r="K282" s="6"/>
      <c r="L282">
        <v>684000</v>
      </c>
      <c r="M282">
        <f t="shared" si="32"/>
        <v>768000</v>
      </c>
      <c r="N282">
        <f t="shared" si="33"/>
        <v>768000</v>
      </c>
      <c r="O282">
        <f t="shared" si="34"/>
        <v>684000</v>
      </c>
      <c r="P282">
        <f t="shared" si="35"/>
        <v>-684000</v>
      </c>
      <c r="Q282" s="30">
        <f>VLOOKUP(B282,Sheet2!$A$15:$G$380,5,FALSE)*S282/10</f>
        <v>0</v>
      </c>
      <c r="R282" s="30">
        <f>VLOOKUP(B282,Sheet2!$A$15:$G$380,7,FALSE)*S282/10</f>
        <v>0</v>
      </c>
      <c r="T282" s="33">
        <f t="shared" si="36"/>
        <v>-1</v>
      </c>
      <c r="U282" s="33">
        <f t="shared" si="37"/>
        <v>-1</v>
      </c>
    </row>
    <row r="283" spans="2:21" x14ac:dyDescent="0.3">
      <c r="B283" s="5">
        <v>46021</v>
      </c>
      <c r="C283" s="6">
        <v>941000</v>
      </c>
      <c r="D283" s="6">
        <v>941000</v>
      </c>
      <c r="E283" s="6">
        <v>949000</v>
      </c>
      <c r="F283" s="6">
        <v>187387</v>
      </c>
      <c r="G283" s="6">
        <v>176948204500</v>
      </c>
      <c r="H283" s="6">
        <f t="shared" si="38"/>
        <v>896000</v>
      </c>
      <c r="I283" s="6">
        <f t="shared" si="39"/>
        <v>910540.32502494822</v>
      </c>
      <c r="J283" s="6">
        <f t="shared" si="31"/>
        <v>941000</v>
      </c>
      <c r="K283" s="6"/>
      <c r="L283">
        <v>684000</v>
      </c>
      <c r="M283">
        <f t="shared" si="32"/>
        <v>769000</v>
      </c>
      <c r="N283">
        <f t="shared" si="33"/>
        <v>769000</v>
      </c>
      <c r="O283">
        <f t="shared" si="34"/>
        <v>684000</v>
      </c>
      <c r="P283">
        <f t="shared" si="35"/>
        <v>-684000</v>
      </c>
      <c r="Q283" s="30">
        <f>VLOOKUP(B283,Sheet2!$A$15:$G$380,5,FALSE)*S283/10</f>
        <v>0</v>
      </c>
      <c r="R283" s="30">
        <f>VLOOKUP(B283,Sheet2!$A$15:$G$380,7,FALSE)*S283/10</f>
        <v>0</v>
      </c>
      <c r="T283" s="33">
        <f t="shared" si="36"/>
        <v>-1</v>
      </c>
      <c r="U283" s="33">
        <f t="shared" si="37"/>
        <v>-1</v>
      </c>
    </row>
    <row r="284" spans="2:21" x14ac:dyDescent="0.3">
      <c r="B284" s="7">
        <v>46022</v>
      </c>
      <c r="C284" s="8">
        <v>941000</v>
      </c>
      <c r="D284" s="8">
        <v>941000</v>
      </c>
      <c r="E284" s="8">
        <v>949000</v>
      </c>
      <c r="F284" s="8">
        <v>187387</v>
      </c>
      <c r="G284" s="8">
        <v>176948204500</v>
      </c>
      <c r="H284" s="6">
        <f t="shared" si="38"/>
        <v>902000</v>
      </c>
      <c r="I284" s="6">
        <f t="shared" si="39"/>
        <v>918524.40926254925</v>
      </c>
      <c r="J284" s="6">
        <f t="shared" si="31"/>
        <v>941000</v>
      </c>
      <c r="K284" s="6"/>
      <c r="L284">
        <v>684000</v>
      </c>
      <c r="M284">
        <f t="shared" si="32"/>
        <v>773000</v>
      </c>
      <c r="N284">
        <f t="shared" si="33"/>
        <v>773000</v>
      </c>
      <c r="O284">
        <f t="shared" si="34"/>
        <v>684000</v>
      </c>
      <c r="P284">
        <f t="shared" si="35"/>
        <v>-684000</v>
      </c>
      <c r="Q284" s="30">
        <f>VLOOKUP(B284,Sheet2!$A$15:$G$380,5,FALSE)*S284/10</f>
        <v>0</v>
      </c>
      <c r="R284" s="30">
        <f>VLOOKUP(B284,Sheet2!$A$15:$G$380,7,FALSE)*S284/10</f>
        <v>0</v>
      </c>
      <c r="T284" s="33">
        <f t="shared" si="36"/>
        <v>-1</v>
      </c>
      <c r="U284" s="33">
        <f t="shared" si="37"/>
        <v>-1</v>
      </c>
    </row>
    <row r="285" spans="2:21" x14ac:dyDescent="0.3">
      <c r="B285" s="5">
        <v>46023</v>
      </c>
      <c r="C285" s="6">
        <v>941000</v>
      </c>
      <c r="D285" s="6">
        <v>941000</v>
      </c>
      <c r="E285" s="6">
        <v>949000</v>
      </c>
      <c r="F285" s="6">
        <v>187387</v>
      </c>
      <c r="G285" s="6">
        <v>176948204500</v>
      </c>
      <c r="H285" s="6">
        <f t="shared" si="38"/>
        <v>909000</v>
      </c>
      <c r="I285" s="6">
        <f t="shared" si="39"/>
        <v>925398.52692000743</v>
      </c>
      <c r="J285" s="6">
        <f t="shared" si="31"/>
        <v>941000</v>
      </c>
      <c r="K285" s="6"/>
      <c r="L285">
        <v>684000</v>
      </c>
      <c r="M285">
        <f t="shared" si="32"/>
        <v>776000</v>
      </c>
      <c r="N285">
        <f t="shared" si="33"/>
        <v>776000</v>
      </c>
      <c r="O285">
        <f t="shared" si="34"/>
        <v>684000</v>
      </c>
      <c r="P285">
        <f t="shared" si="35"/>
        <v>-684000</v>
      </c>
      <c r="Q285" s="30">
        <f>VLOOKUP(B285,Sheet2!$A$15:$G$380,5,FALSE)*S285/10</f>
        <v>0</v>
      </c>
      <c r="R285" s="30">
        <f>VLOOKUP(B285,Sheet2!$A$15:$G$380,7,FALSE)*S285/10</f>
        <v>0</v>
      </c>
      <c r="T285" s="33">
        <f t="shared" si="36"/>
        <v>-1</v>
      </c>
      <c r="U285" s="33">
        <f t="shared" si="37"/>
        <v>-1</v>
      </c>
    </row>
    <row r="286" spans="2:21" x14ac:dyDescent="0.3">
      <c r="B286" s="5">
        <v>46024</v>
      </c>
      <c r="C286" s="6">
        <v>946000</v>
      </c>
      <c r="D286" s="6">
        <v>946000</v>
      </c>
      <c r="E286" s="6">
        <v>941000</v>
      </c>
      <c r="F286" s="6">
        <v>144603</v>
      </c>
      <c r="G286" s="6">
        <v>137942431000</v>
      </c>
      <c r="H286" s="6">
        <f t="shared" si="38"/>
        <v>913000</v>
      </c>
      <c r="I286" s="6">
        <f t="shared" si="39"/>
        <v>932691.42072001135</v>
      </c>
      <c r="J286" s="6">
        <f t="shared" si="31"/>
        <v>946000</v>
      </c>
      <c r="K286" s="6"/>
      <c r="L286">
        <v>684000</v>
      </c>
      <c r="M286">
        <f t="shared" si="32"/>
        <v>781000</v>
      </c>
      <c r="N286">
        <f t="shared" si="33"/>
        <v>781000</v>
      </c>
      <c r="O286">
        <f t="shared" si="34"/>
        <v>684000</v>
      </c>
      <c r="P286">
        <f t="shared" si="35"/>
        <v>-684000</v>
      </c>
      <c r="Q286" s="30">
        <f>VLOOKUP(B286,Sheet2!$A$15:$G$380,5,FALSE)*S286/10</f>
        <v>0</v>
      </c>
      <c r="R286" s="30">
        <f>VLOOKUP(B286,Sheet2!$A$15:$G$380,7,FALSE)*S286/10</f>
        <v>0</v>
      </c>
      <c r="T286" s="33">
        <f t="shared" si="36"/>
        <v>-1</v>
      </c>
      <c r="U286" s="33">
        <f t="shared" si="37"/>
        <v>-1</v>
      </c>
    </row>
    <row r="287" spans="2:21" x14ac:dyDescent="0.3">
      <c r="B287" s="5">
        <v>46025</v>
      </c>
      <c r="C287" s="6">
        <v>946000</v>
      </c>
      <c r="D287" s="6">
        <v>946000</v>
      </c>
      <c r="E287" s="6">
        <v>941000</v>
      </c>
      <c r="F287" s="6">
        <v>144603</v>
      </c>
      <c r="G287" s="6">
        <v>137942431000</v>
      </c>
      <c r="H287" s="6">
        <f t="shared" si="38"/>
        <v>915000</v>
      </c>
      <c r="I287" s="6">
        <f t="shared" si="39"/>
        <v>939512.9537230368</v>
      </c>
      <c r="J287" s="6">
        <f t="shared" ref="J287:J350" si="40">C287</f>
        <v>946000</v>
      </c>
      <c r="K287" s="6"/>
      <c r="L287">
        <v>684000</v>
      </c>
      <c r="M287">
        <f t="shared" ref="M287:M350" si="41">CEILING(MIN(AVERAGE(H287,I287,J287),J287)*(1-$W$5)/(1+$W$4*$W$5),1000)</f>
        <v>783000</v>
      </c>
      <c r="N287">
        <f t="shared" ref="N287:N350" si="42">CEILING(MIN(AVERAGE(H287,I287,J287),J287)*(1-$W$5)/(1+$W$4*$W$5),1000)</f>
        <v>783000</v>
      </c>
      <c r="O287">
        <f t="shared" ref="O287:O350" si="43">MAX(MIN(L287,M287),N287*0.6)</f>
        <v>684000</v>
      </c>
      <c r="P287">
        <f t="shared" ref="P287:P350" si="44">Q287-O287</f>
        <v>-684000</v>
      </c>
      <c r="Q287" s="30">
        <f>VLOOKUP(B287,Sheet2!$A$15:$G$380,5,FALSE)*S287/10</f>
        <v>0</v>
      </c>
      <c r="R287" s="30">
        <f>VLOOKUP(B287,Sheet2!$A$15:$G$380,7,FALSE)*S287/10</f>
        <v>0</v>
      </c>
      <c r="T287" s="33">
        <f t="shared" ref="T287:T350" si="45">(Q287-C287)/C287</f>
        <v>-1</v>
      </c>
      <c r="U287" s="33">
        <f t="shared" ref="U287:U350" si="46">(R287-C287)/C287</f>
        <v>-1</v>
      </c>
    </row>
    <row r="288" spans="2:21" x14ac:dyDescent="0.3">
      <c r="B288" s="5">
        <v>46026</v>
      </c>
      <c r="C288" s="6">
        <v>946000</v>
      </c>
      <c r="D288" s="6">
        <v>946000</v>
      </c>
      <c r="E288" s="6">
        <v>941000</v>
      </c>
      <c r="F288" s="6">
        <v>144603</v>
      </c>
      <c r="G288" s="6">
        <v>137942431000</v>
      </c>
      <c r="H288" s="6">
        <f t="shared" si="38"/>
        <v>918000</v>
      </c>
      <c r="I288" s="6">
        <f t="shared" si="39"/>
        <v>945907.3934746515</v>
      </c>
      <c r="J288" s="6">
        <f t="shared" si="40"/>
        <v>946000</v>
      </c>
      <c r="K288" s="6"/>
      <c r="L288">
        <v>684000</v>
      </c>
      <c r="M288">
        <f t="shared" si="41"/>
        <v>786000</v>
      </c>
      <c r="N288">
        <f t="shared" si="42"/>
        <v>786000</v>
      </c>
      <c r="O288">
        <f t="shared" si="43"/>
        <v>684000</v>
      </c>
      <c r="P288">
        <f t="shared" si="44"/>
        <v>-684000</v>
      </c>
      <c r="Q288" s="30">
        <f>VLOOKUP(B288,Sheet2!$A$15:$G$380,5,FALSE)*S288/10</f>
        <v>0</v>
      </c>
      <c r="R288" s="30">
        <f>VLOOKUP(B288,Sheet2!$A$15:$G$380,7,FALSE)*S288/10</f>
        <v>0</v>
      </c>
      <c r="T288" s="33">
        <f t="shared" si="45"/>
        <v>-1</v>
      </c>
      <c r="U288" s="33">
        <f t="shared" si="46"/>
        <v>-1</v>
      </c>
    </row>
    <row r="289" spans="2:21" x14ac:dyDescent="0.3">
      <c r="B289" s="7">
        <v>46027</v>
      </c>
      <c r="C289" s="8">
        <v>1012000</v>
      </c>
      <c r="D289" s="8">
        <v>1012000</v>
      </c>
      <c r="E289" s="8">
        <v>946000</v>
      </c>
      <c r="F289" s="8">
        <v>327727</v>
      </c>
      <c r="G289" s="8">
        <v>325547099150</v>
      </c>
      <c r="H289" s="6">
        <f t="shared" si="38"/>
        <v>924000</v>
      </c>
      <c r="I289" s="6">
        <f t="shared" si="39"/>
        <v>959599.51986746211</v>
      </c>
      <c r="J289" s="6">
        <f t="shared" si="40"/>
        <v>1012000</v>
      </c>
      <c r="K289" s="6"/>
      <c r="L289">
        <v>684000</v>
      </c>
      <c r="M289">
        <f t="shared" si="41"/>
        <v>810000</v>
      </c>
      <c r="N289">
        <f t="shared" si="42"/>
        <v>810000</v>
      </c>
      <c r="O289">
        <f t="shared" si="43"/>
        <v>684000</v>
      </c>
      <c r="P289">
        <f t="shared" si="44"/>
        <v>-684000</v>
      </c>
      <c r="Q289" s="30">
        <f>VLOOKUP(B289,Sheet2!$A$15:$G$380,5,FALSE)*S289/10</f>
        <v>0</v>
      </c>
      <c r="R289" s="30">
        <f>VLOOKUP(B289,Sheet2!$A$15:$G$380,7,FALSE)*S289/10</f>
        <v>0</v>
      </c>
      <c r="T289" s="33">
        <f t="shared" si="45"/>
        <v>-1</v>
      </c>
      <c r="U289" s="33">
        <f t="shared" si="46"/>
        <v>-1</v>
      </c>
    </row>
    <row r="290" spans="2:21" x14ac:dyDescent="0.3">
      <c r="B290" s="5">
        <v>46028</v>
      </c>
      <c r="C290" s="6">
        <v>1022000</v>
      </c>
      <c r="D290" s="6">
        <v>1022000</v>
      </c>
      <c r="E290" s="6">
        <v>1012000</v>
      </c>
      <c r="F290" s="6">
        <v>279979</v>
      </c>
      <c r="G290" s="6">
        <v>283588917000</v>
      </c>
      <c r="H290" s="6">
        <f t="shared" si="38"/>
        <v>930000</v>
      </c>
      <c r="I290" s="6">
        <f t="shared" si="39"/>
        <v>972160.14397485263</v>
      </c>
      <c r="J290" s="6">
        <f t="shared" si="40"/>
        <v>1022000</v>
      </c>
      <c r="K290" s="6"/>
      <c r="L290">
        <v>684000</v>
      </c>
      <c r="M290">
        <f t="shared" si="41"/>
        <v>818000</v>
      </c>
      <c r="N290">
        <f t="shared" si="42"/>
        <v>818000</v>
      </c>
      <c r="O290">
        <f t="shared" si="43"/>
        <v>684000</v>
      </c>
      <c r="P290">
        <f t="shared" si="44"/>
        <v>-684000</v>
      </c>
      <c r="Q290" s="30">
        <f>VLOOKUP(B290,Sheet2!$A$15:$G$380,5,FALSE)*S290/10</f>
        <v>0</v>
      </c>
      <c r="R290" s="30">
        <f>VLOOKUP(B290,Sheet2!$A$15:$G$380,7,FALSE)*S290/10</f>
        <v>0</v>
      </c>
      <c r="T290" s="33">
        <f t="shared" si="45"/>
        <v>-1</v>
      </c>
      <c r="U290" s="33">
        <f t="shared" si="46"/>
        <v>-1</v>
      </c>
    </row>
    <row r="291" spans="2:21" x14ac:dyDescent="0.3">
      <c r="B291" s="5">
        <v>46029</v>
      </c>
      <c r="C291" s="6">
        <v>1010000</v>
      </c>
      <c r="D291" s="6">
        <v>1010000</v>
      </c>
      <c r="E291" s="6">
        <v>1022000</v>
      </c>
      <c r="F291" s="6">
        <v>269662</v>
      </c>
      <c r="G291" s="6">
        <v>272432208000</v>
      </c>
      <c r="H291" s="6">
        <f t="shared" si="38"/>
        <v>934000</v>
      </c>
      <c r="I291" s="6">
        <f t="shared" si="39"/>
        <v>982503.0640333012</v>
      </c>
      <c r="J291" s="6">
        <f t="shared" si="40"/>
        <v>1010000</v>
      </c>
      <c r="K291" s="6"/>
      <c r="L291">
        <v>684000</v>
      </c>
      <c r="M291">
        <f t="shared" si="41"/>
        <v>819000</v>
      </c>
      <c r="N291">
        <f t="shared" si="42"/>
        <v>819000</v>
      </c>
      <c r="O291">
        <f t="shared" si="43"/>
        <v>684000</v>
      </c>
      <c r="P291">
        <f t="shared" si="44"/>
        <v>-684000</v>
      </c>
      <c r="Q291" s="30">
        <f>VLOOKUP(B291,Sheet2!$A$15:$G$380,5,FALSE)*S291/10</f>
        <v>0</v>
      </c>
      <c r="R291" s="30">
        <f>VLOOKUP(B291,Sheet2!$A$15:$G$380,7,FALSE)*S291/10</f>
        <v>0</v>
      </c>
      <c r="T291" s="33">
        <f t="shared" si="45"/>
        <v>-1</v>
      </c>
      <c r="U291" s="33">
        <f t="shared" si="46"/>
        <v>-1</v>
      </c>
    </row>
    <row r="292" spans="2:21" x14ac:dyDescent="0.3">
      <c r="B292" s="5">
        <v>46030</v>
      </c>
      <c r="C292" s="6">
        <v>1090000</v>
      </c>
      <c r="D292" s="6">
        <v>1090000</v>
      </c>
      <c r="E292" s="6">
        <v>1010000</v>
      </c>
      <c r="F292" s="6">
        <v>508382</v>
      </c>
      <c r="G292" s="6">
        <v>553240769500</v>
      </c>
      <c r="H292" s="6">
        <f t="shared" si="38"/>
        <v>946000</v>
      </c>
      <c r="I292" s="6">
        <f t="shared" si="39"/>
        <v>1015980.4033010197</v>
      </c>
      <c r="J292" s="6">
        <f t="shared" si="40"/>
        <v>1090000</v>
      </c>
      <c r="K292" s="6"/>
      <c r="L292">
        <v>684000</v>
      </c>
      <c r="M292">
        <f t="shared" si="41"/>
        <v>854000</v>
      </c>
      <c r="N292">
        <f t="shared" si="42"/>
        <v>854000</v>
      </c>
      <c r="O292">
        <f t="shared" si="43"/>
        <v>684000</v>
      </c>
      <c r="P292">
        <f t="shared" si="44"/>
        <v>-684000</v>
      </c>
      <c r="Q292" s="30">
        <f>VLOOKUP(B292,Sheet2!$A$15:$G$380,5,FALSE)*S292/10</f>
        <v>0</v>
      </c>
      <c r="R292" s="30">
        <f>VLOOKUP(B292,Sheet2!$A$15:$G$380,7,FALSE)*S292/10</f>
        <v>0</v>
      </c>
      <c r="T292" s="33">
        <f t="shared" si="45"/>
        <v>-1</v>
      </c>
      <c r="U292" s="33">
        <f t="shared" si="46"/>
        <v>-1</v>
      </c>
    </row>
    <row r="293" spans="2:21" x14ac:dyDescent="0.3">
      <c r="B293" s="5">
        <v>46031</v>
      </c>
      <c r="C293" s="6">
        <v>1214000</v>
      </c>
      <c r="D293" s="6">
        <v>1214000</v>
      </c>
      <c r="E293" s="6">
        <v>1090000</v>
      </c>
      <c r="F293" s="6">
        <v>575132</v>
      </c>
      <c r="G293" s="6">
        <v>678226931608</v>
      </c>
      <c r="H293" s="6">
        <f t="shared" si="38"/>
        <v>968000</v>
      </c>
      <c r="I293" s="6">
        <f t="shared" si="39"/>
        <v>1061701.0478070192</v>
      </c>
      <c r="J293" s="6">
        <f t="shared" si="40"/>
        <v>1214000</v>
      </c>
      <c r="K293" s="6"/>
      <c r="L293">
        <v>684000</v>
      </c>
      <c r="M293">
        <f t="shared" si="41"/>
        <v>907000</v>
      </c>
      <c r="N293">
        <f t="shared" si="42"/>
        <v>907000</v>
      </c>
      <c r="O293">
        <f t="shared" si="43"/>
        <v>684000</v>
      </c>
      <c r="P293">
        <f t="shared" si="44"/>
        <v>-684000</v>
      </c>
      <c r="Q293" s="30">
        <f>VLOOKUP(B293,Sheet2!$A$15:$G$380,5,FALSE)*S293/10</f>
        <v>0</v>
      </c>
      <c r="R293" s="30">
        <f>VLOOKUP(B293,Sheet2!$A$15:$G$380,7,FALSE)*S293/10</f>
        <v>0</v>
      </c>
      <c r="T293" s="33">
        <f t="shared" si="45"/>
        <v>-1</v>
      </c>
      <c r="U293" s="33">
        <f t="shared" si="46"/>
        <v>-1</v>
      </c>
    </row>
    <row r="294" spans="2:21" x14ac:dyDescent="0.3">
      <c r="B294" s="7">
        <v>46032</v>
      </c>
      <c r="C294" s="8">
        <v>1214000</v>
      </c>
      <c r="D294" s="8">
        <v>1214000</v>
      </c>
      <c r="E294" s="8">
        <v>1090000</v>
      </c>
      <c r="F294" s="8">
        <v>575132</v>
      </c>
      <c r="G294" s="8">
        <v>678226931608</v>
      </c>
      <c r="H294" s="6">
        <f t="shared" si="38"/>
        <v>989000</v>
      </c>
      <c r="I294" s="6">
        <f t="shared" si="39"/>
        <v>1092735.4739099245</v>
      </c>
      <c r="J294" s="6">
        <f t="shared" si="40"/>
        <v>1214000</v>
      </c>
      <c r="K294" s="6"/>
      <c r="L294">
        <v>684000</v>
      </c>
      <c r="M294">
        <f t="shared" si="41"/>
        <v>922000</v>
      </c>
      <c r="N294">
        <f t="shared" si="42"/>
        <v>922000</v>
      </c>
      <c r="O294">
        <f t="shared" si="43"/>
        <v>684000</v>
      </c>
      <c r="P294">
        <f t="shared" si="44"/>
        <v>-684000</v>
      </c>
      <c r="Q294" s="30">
        <f>VLOOKUP(B294,Sheet2!$A$15:$G$380,5,FALSE)*S294/10</f>
        <v>0</v>
      </c>
      <c r="R294" s="30">
        <f>VLOOKUP(B294,Sheet2!$A$15:$G$380,7,FALSE)*S294/10</f>
        <v>0</v>
      </c>
      <c r="T294" s="33">
        <f t="shared" si="45"/>
        <v>-1</v>
      </c>
      <c r="U294" s="33">
        <f t="shared" si="46"/>
        <v>-1</v>
      </c>
    </row>
    <row r="295" spans="2:21" x14ac:dyDescent="0.3">
      <c r="B295" s="5">
        <v>46033</v>
      </c>
      <c r="C295" s="6">
        <v>1214000</v>
      </c>
      <c r="D295" s="6">
        <v>1214000</v>
      </c>
      <c r="E295" s="6">
        <v>1090000</v>
      </c>
      <c r="F295" s="6">
        <v>575132</v>
      </c>
      <c r="G295" s="6">
        <v>678226931608</v>
      </c>
      <c r="H295" s="6">
        <f t="shared" si="38"/>
        <v>1006000</v>
      </c>
      <c r="I295" s="6">
        <f t="shared" si="39"/>
        <v>1115180.6403408905</v>
      </c>
      <c r="J295" s="6">
        <f t="shared" si="40"/>
        <v>1214000</v>
      </c>
      <c r="K295" s="6"/>
      <c r="L295">
        <v>684000</v>
      </c>
      <c r="M295">
        <f t="shared" si="41"/>
        <v>933000</v>
      </c>
      <c r="N295">
        <f t="shared" si="42"/>
        <v>933000</v>
      </c>
      <c r="O295">
        <f t="shared" si="43"/>
        <v>684000</v>
      </c>
      <c r="P295">
        <f t="shared" si="44"/>
        <v>-684000</v>
      </c>
      <c r="Q295" s="30">
        <f>VLOOKUP(B295,Sheet2!$A$15:$G$380,5,FALSE)*S295/10</f>
        <v>0</v>
      </c>
      <c r="R295" s="30">
        <f>VLOOKUP(B295,Sheet2!$A$15:$G$380,7,FALSE)*S295/10</f>
        <v>0</v>
      </c>
      <c r="T295" s="33">
        <f t="shared" si="45"/>
        <v>-1</v>
      </c>
      <c r="U295" s="33">
        <f t="shared" si="46"/>
        <v>-1</v>
      </c>
    </row>
    <row r="296" spans="2:21" x14ac:dyDescent="0.3">
      <c r="B296" s="5">
        <v>46034</v>
      </c>
      <c r="C296" s="6">
        <v>1212000</v>
      </c>
      <c r="D296" s="6">
        <v>1212000</v>
      </c>
      <c r="E296" s="6">
        <v>1214000</v>
      </c>
      <c r="F296" s="6">
        <v>282589</v>
      </c>
      <c r="G296" s="6">
        <v>342525799300</v>
      </c>
      <c r="H296" s="6">
        <f t="shared" si="38"/>
        <v>1017000</v>
      </c>
      <c r="I296" s="6">
        <f t="shared" si="39"/>
        <v>1137136.1355299791</v>
      </c>
      <c r="J296" s="6">
        <f t="shared" si="40"/>
        <v>1212000</v>
      </c>
      <c r="K296" s="6"/>
      <c r="L296">
        <v>684000</v>
      </c>
      <c r="M296">
        <f t="shared" si="41"/>
        <v>942000</v>
      </c>
      <c r="N296">
        <f t="shared" si="42"/>
        <v>942000</v>
      </c>
      <c r="O296">
        <f t="shared" si="43"/>
        <v>684000</v>
      </c>
      <c r="P296">
        <f t="shared" si="44"/>
        <v>-684000</v>
      </c>
      <c r="Q296" s="30">
        <f>VLOOKUP(B296,Sheet2!$A$15:$G$380,5,FALSE)*S296/10</f>
        <v>0</v>
      </c>
      <c r="R296" s="30">
        <f>VLOOKUP(B296,Sheet2!$A$15:$G$380,7,FALSE)*S296/10</f>
        <v>0</v>
      </c>
      <c r="T296" s="33">
        <f t="shared" si="45"/>
        <v>-1</v>
      </c>
      <c r="U296" s="33">
        <f t="shared" si="46"/>
        <v>-1</v>
      </c>
    </row>
    <row r="297" spans="2:21" x14ac:dyDescent="0.3">
      <c r="B297" s="5">
        <v>46035</v>
      </c>
      <c r="C297" s="6">
        <v>1282000</v>
      </c>
      <c r="D297" s="6">
        <v>1282000</v>
      </c>
      <c r="E297" s="6">
        <v>1212000</v>
      </c>
      <c r="F297" s="6">
        <v>322326</v>
      </c>
      <c r="G297" s="6">
        <v>409626024735</v>
      </c>
      <c r="H297" s="6">
        <f t="shared" si="38"/>
        <v>1031000</v>
      </c>
      <c r="I297" s="6">
        <f t="shared" si="39"/>
        <v>1162192.0907872492</v>
      </c>
      <c r="J297" s="6">
        <f t="shared" si="40"/>
        <v>1282000</v>
      </c>
      <c r="K297" s="6"/>
      <c r="L297">
        <v>684000</v>
      </c>
      <c r="M297">
        <f t="shared" si="41"/>
        <v>972000</v>
      </c>
      <c r="N297">
        <f t="shared" si="42"/>
        <v>972000</v>
      </c>
      <c r="O297">
        <f t="shared" si="43"/>
        <v>684000</v>
      </c>
      <c r="P297">
        <f t="shared" si="44"/>
        <v>-684000</v>
      </c>
      <c r="Q297" s="30">
        <f>VLOOKUP(B297,Sheet2!$A$15:$G$380,5,FALSE)*S297/10</f>
        <v>0</v>
      </c>
      <c r="R297" s="30">
        <f>VLOOKUP(B297,Sheet2!$A$15:$G$380,7,FALSE)*S297/10</f>
        <v>0</v>
      </c>
      <c r="T297" s="33">
        <f t="shared" si="45"/>
        <v>-1</v>
      </c>
      <c r="U297" s="33">
        <f t="shared" si="46"/>
        <v>-1</v>
      </c>
    </row>
    <row r="298" spans="2:21" x14ac:dyDescent="0.3">
      <c r="B298" s="5">
        <v>46036</v>
      </c>
      <c r="C298" s="6">
        <v>1269000</v>
      </c>
      <c r="D298" s="6">
        <v>1269000</v>
      </c>
      <c r="E298" s="6">
        <v>1282000</v>
      </c>
      <c r="F298" s="6">
        <v>182382</v>
      </c>
      <c r="G298" s="6">
        <v>230907198640</v>
      </c>
      <c r="H298" s="6">
        <f t="shared" si="38"/>
        <v>1040000</v>
      </c>
      <c r="I298" s="6">
        <f t="shared" si="39"/>
        <v>1182023.1497063132</v>
      </c>
      <c r="J298" s="6">
        <f t="shared" si="40"/>
        <v>1269000</v>
      </c>
      <c r="K298" s="6"/>
      <c r="L298">
        <v>684000</v>
      </c>
      <c r="M298">
        <f t="shared" si="41"/>
        <v>976000</v>
      </c>
      <c r="N298">
        <f t="shared" si="42"/>
        <v>976000</v>
      </c>
      <c r="O298">
        <f t="shared" si="43"/>
        <v>684000</v>
      </c>
      <c r="P298">
        <f t="shared" si="44"/>
        <v>-684000</v>
      </c>
      <c r="Q298" s="30">
        <f>VLOOKUP(B298,Sheet2!$A$15:$G$380,5,FALSE)*S298/10</f>
        <v>0</v>
      </c>
      <c r="R298" s="30">
        <f>VLOOKUP(B298,Sheet2!$A$15:$G$380,7,FALSE)*S298/10</f>
        <v>0</v>
      </c>
      <c r="T298" s="33">
        <f t="shared" si="45"/>
        <v>-1</v>
      </c>
      <c r="U298" s="33">
        <f t="shared" si="46"/>
        <v>-1</v>
      </c>
    </row>
    <row r="299" spans="2:21" x14ac:dyDescent="0.3">
      <c r="B299" s="7">
        <v>46037</v>
      </c>
      <c r="C299" s="8">
        <v>1294000</v>
      </c>
      <c r="D299" s="8">
        <v>1294000</v>
      </c>
      <c r="E299" s="8">
        <v>1269000</v>
      </c>
      <c r="F299" s="8">
        <v>220568</v>
      </c>
      <c r="G299" s="8">
        <v>284630704363</v>
      </c>
      <c r="H299" s="6">
        <f t="shared" si="38"/>
        <v>1053000</v>
      </c>
      <c r="I299" s="6">
        <f t="shared" si="39"/>
        <v>1208216.3107957856</v>
      </c>
      <c r="J299" s="6">
        <f t="shared" si="40"/>
        <v>1294000</v>
      </c>
      <c r="K299" s="6"/>
      <c r="L299">
        <v>684000</v>
      </c>
      <c r="M299">
        <f t="shared" si="41"/>
        <v>994000</v>
      </c>
      <c r="N299">
        <f t="shared" si="42"/>
        <v>994000</v>
      </c>
      <c r="O299">
        <f t="shared" si="43"/>
        <v>684000</v>
      </c>
      <c r="P299">
        <f t="shared" si="44"/>
        <v>-684000</v>
      </c>
      <c r="Q299" s="30">
        <f>VLOOKUP(B299,Sheet2!$A$15:$G$380,5,FALSE)*S299/10</f>
        <v>0</v>
      </c>
      <c r="R299" s="30">
        <f>VLOOKUP(B299,Sheet2!$A$15:$G$380,7,FALSE)*S299/10</f>
        <v>0</v>
      </c>
      <c r="T299" s="33">
        <f t="shared" si="45"/>
        <v>-1</v>
      </c>
      <c r="U299" s="33">
        <f t="shared" si="46"/>
        <v>-1</v>
      </c>
    </row>
    <row r="300" spans="2:21" x14ac:dyDescent="0.3">
      <c r="B300" s="5">
        <v>46038</v>
      </c>
      <c r="C300" s="6">
        <v>1299000</v>
      </c>
      <c r="D300" s="6">
        <v>1299000</v>
      </c>
      <c r="E300" s="6">
        <v>1294000</v>
      </c>
      <c r="F300" s="6">
        <v>291401</v>
      </c>
      <c r="G300" s="6">
        <v>378219434928</v>
      </c>
      <c r="H300" s="6">
        <f t="shared" si="38"/>
        <v>1065000</v>
      </c>
      <c r="I300" s="6">
        <f t="shared" si="39"/>
        <v>1225689.4282503175</v>
      </c>
      <c r="J300" s="6">
        <f t="shared" si="40"/>
        <v>1299000</v>
      </c>
      <c r="K300" s="6"/>
      <c r="L300">
        <v>684000</v>
      </c>
      <c r="M300">
        <f t="shared" si="41"/>
        <v>1004000</v>
      </c>
      <c r="N300">
        <f t="shared" si="42"/>
        <v>1004000</v>
      </c>
      <c r="O300">
        <f t="shared" si="43"/>
        <v>684000</v>
      </c>
      <c r="P300">
        <f t="shared" si="44"/>
        <v>-684000</v>
      </c>
      <c r="Q300" s="30">
        <f>VLOOKUP(B300,Sheet2!$A$15:$G$380,5,FALSE)*S300/10</f>
        <v>0</v>
      </c>
      <c r="R300" s="30">
        <f>VLOOKUP(B300,Sheet2!$A$15:$G$380,7,FALSE)*S300/10</f>
        <v>0</v>
      </c>
      <c r="T300" s="33">
        <f t="shared" si="45"/>
        <v>-1</v>
      </c>
      <c r="U300" s="33">
        <f t="shared" si="46"/>
        <v>-1</v>
      </c>
    </row>
    <row r="301" spans="2:21" x14ac:dyDescent="0.3">
      <c r="B301" s="5">
        <v>46039</v>
      </c>
      <c r="C301" s="6">
        <v>1299000</v>
      </c>
      <c r="D301" s="6">
        <v>1299000</v>
      </c>
      <c r="E301" s="6">
        <v>1294000</v>
      </c>
      <c r="F301" s="6">
        <v>291401</v>
      </c>
      <c r="G301" s="6">
        <v>378219434928</v>
      </c>
      <c r="H301" s="6">
        <f t="shared" si="38"/>
        <v>1077000</v>
      </c>
      <c r="I301" s="6">
        <f t="shared" si="39"/>
        <v>1247740.6853092092</v>
      </c>
      <c r="J301" s="6">
        <f t="shared" si="40"/>
        <v>1299000</v>
      </c>
      <c r="K301" s="6"/>
      <c r="L301">
        <v>684000</v>
      </c>
      <c r="M301">
        <f t="shared" si="41"/>
        <v>1014000</v>
      </c>
      <c r="N301">
        <f t="shared" si="42"/>
        <v>1014000</v>
      </c>
      <c r="O301">
        <f t="shared" si="43"/>
        <v>684000</v>
      </c>
      <c r="P301">
        <f t="shared" si="44"/>
        <v>-684000</v>
      </c>
      <c r="Q301" s="30">
        <f>VLOOKUP(B301,Sheet2!$A$15:$G$380,5,FALSE)*S301/10</f>
        <v>0</v>
      </c>
      <c r="R301" s="30">
        <f>VLOOKUP(B301,Sheet2!$A$15:$G$380,7,FALSE)*S301/10</f>
        <v>0</v>
      </c>
      <c r="T301" s="33">
        <f t="shared" si="45"/>
        <v>-1</v>
      </c>
      <c r="U301" s="33">
        <f t="shared" si="46"/>
        <v>-1</v>
      </c>
    </row>
    <row r="302" spans="2:21" x14ac:dyDescent="0.3">
      <c r="B302" s="5">
        <v>46040</v>
      </c>
      <c r="C302" s="6">
        <v>1299000</v>
      </c>
      <c r="D302" s="6">
        <v>1299000</v>
      </c>
      <c r="E302" s="6">
        <v>1294000</v>
      </c>
      <c r="F302" s="6">
        <v>291401</v>
      </c>
      <c r="G302" s="6">
        <v>378219434928</v>
      </c>
      <c r="H302" s="6">
        <f t="shared" si="38"/>
        <v>1091000</v>
      </c>
      <c r="I302" s="6">
        <f t="shared" si="39"/>
        <v>1276440.6131032461</v>
      </c>
      <c r="J302" s="6">
        <f t="shared" si="40"/>
        <v>1299000</v>
      </c>
      <c r="K302" s="6"/>
      <c r="L302">
        <v>684000</v>
      </c>
      <c r="M302">
        <f t="shared" si="41"/>
        <v>1025000</v>
      </c>
      <c r="N302">
        <f t="shared" si="42"/>
        <v>1025000</v>
      </c>
      <c r="O302">
        <f t="shared" si="43"/>
        <v>684000</v>
      </c>
      <c r="P302">
        <f t="shared" si="44"/>
        <v>-684000</v>
      </c>
      <c r="Q302" s="30">
        <f>VLOOKUP(B302,Sheet2!$A$15:$G$380,5,FALSE)*S302/10</f>
        <v>0</v>
      </c>
      <c r="R302" s="30">
        <f>VLOOKUP(B302,Sheet2!$A$15:$G$380,7,FALSE)*S302/10</f>
        <v>0</v>
      </c>
      <c r="T302" s="33">
        <f t="shared" si="45"/>
        <v>-1</v>
      </c>
      <c r="U302" s="33">
        <f t="shared" si="46"/>
        <v>-1</v>
      </c>
    </row>
    <row r="303" spans="2:21" x14ac:dyDescent="0.3">
      <c r="B303" s="5">
        <v>46041</v>
      </c>
      <c r="C303" s="6">
        <v>1330000</v>
      </c>
      <c r="D303" s="6">
        <v>1330000</v>
      </c>
      <c r="E303" s="6">
        <v>1299000</v>
      </c>
      <c r="F303" s="6">
        <v>194888</v>
      </c>
      <c r="G303" s="6">
        <v>257938125500</v>
      </c>
      <c r="H303" s="6">
        <f t="shared" si="38"/>
        <v>1103000</v>
      </c>
      <c r="I303" s="6">
        <f t="shared" si="39"/>
        <v>1291686.9057567376</v>
      </c>
      <c r="J303" s="6">
        <f t="shared" si="40"/>
        <v>1330000</v>
      </c>
      <c r="K303" s="6"/>
      <c r="L303">
        <v>684000</v>
      </c>
      <c r="M303">
        <f t="shared" si="41"/>
        <v>1042000</v>
      </c>
      <c r="N303">
        <f t="shared" si="42"/>
        <v>1042000</v>
      </c>
      <c r="O303">
        <f t="shared" si="43"/>
        <v>684000</v>
      </c>
      <c r="P303">
        <f t="shared" si="44"/>
        <v>-684000</v>
      </c>
      <c r="Q303" s="30">
        <f>VLOOKUP(B303,Sheet2!$A$15:$G$380,5,FALSE)*S303/10</f>
        <v>0</v>
      </c>
      <c r="R303" s="30">
        <f>VLOOKUP(B303,Sheet2!$A$15:$G$380,7,FALSE)*S303/10</f>
        <v>0</v>
      </c>
      <c r="T303" s="33">
        <f t="shared" si="45"/>
        <v>-1</v>
      </c>
      <c r="U303" s="33">
        <f t="shared" si="46"/>
        <v>-1</v>
      </c>
    </row>
    <row r="304" spans="2:21" x14ac:dyDescent="0.3">
      <c r="B304" s="7">
        <v>46042</v>
      </c>
      <c r="C304" s="8">
        <v>1309000</v>
      </c>
      <c r="D304" s="8">
        <v>1309000</v>
      </c>
      <c r="E304" s="8">
        <v>1330000</v>
      </c>
      <c r="F304" s="8">
        <v>222510</v>
      </c>
      <c r="G304" s="8">
        <v>296278170500</v>
      </c>
      <c r="H304" s="6">
        <f t="shared" si="38"/>
        <v>1116000</v>
      </c>
      <c r="I304" s="6">
        <f t="shared" si="39"/>
        <v>1300882.9499891121</v>
      </c>
      <c r="J304" s="6">
        <f t="shared" si="40"/>
        <v>1309000</v>
      </c>
      <c r="K304" s="6"/>
      <c r="L304">
        <v>684000</v>
      </c>
      <c r="M304">
        <f t="shared" si="41"/>
        <v>1042000</v>
      </c>
      <c r="N304">
        <f t="shared" si="42"/>
        <v>1042000</v>
      </c>
      <c r="O304">
        <f t="shared" si="43"/>
        <v>684000</v>
      </c>
      <c r="P304">
        <f t="shared" si="44"/>
        <v>-684000</v>
      </c>
      <c r="Q304" s="30">
        <f>VLOOKUP(B304,Sheet2!$A$15:$G$380,5,FALSE)*S304/10</f>
        <v>0</v>
      </c>
      <c r="R304" s="30">
        <f>VLOOKUP(B304,Sheet2!$A$15:$G$380,7,FALSE)*S304/10</f>
        <v>0</v>
      </c>
      <c r="T304" s="33">
        <f t="shared" si="45"/>
        <v>-1</v>
      </c>
      <c r="U304" s="33">
        <f t="shared" si="46"/>
        <v>-1</v>
      </c>
    </row>
    <row r="305" spans="2:21" x14ac:dyDescent="0.3">
      <c r="B305" s="5">
        <v>46043</v>
      </c>
      <c r="C305" s="6">
        <v>1315000</v>
      </c>
      <c r="D305" s="6">
        <v>1315000</v>
      </c>
      <c r="E305" s="6">
        <v>1309000</v>
      </c>
      <c r="F305" s="6">
        <v>264111</v>
      </c>
      <c r="G305" s="6">
        <v>343746904500</v>
      </c>
      <c r="H305" s="6">
        <f t="shared" si="38"/>
        <v>1126000</v>
      </c>
      <c r="I305" s="6">
        <f t="shared" si="39"/>
        <v>1304553.4542116108</v>
      </c>
      <c r="J305" s="6">
        <f t="shared" si="40"/>
        <v>1315000</v>
      </c>
      <c r="K305" s="6"/>
      <c r="L305">
        <v>684000</v>
      </c>
      <c r="M305">
        <f t="shared" si="41"/>
        <v>1048000</v>
      </c>
      <c r="N305">
        <f t="shared" si="42"/>
        <v>1048000</v>
      </c>
      <c r="O305">
        <f t="shared" si="43"/>
        <v>684000</v>
      </c>
      <c r="P305">
        <f t="shared" si="44"/>
        <v>-684000</v>
      </c>
      <c r="Q305" s="30">
        <f>VLOOKUP(B305,Sheet2!$A$15:$G$380,5,FALSE)*S305/10</f>
        <v>0</v>
      </c>
      <c r="R305" s="30">
        <f>VLOOKUP(B305,Sheet2!$A$15:$G$380,7,FALSE)*S305/10</f>
        <v>0</v>
      </c>
      <c r="T305" s="33">
        <f t="shared" si="45"/>
        <v>-1</v>
      </c>
      <c r="U305" s="33">
        <f t="shared" si="46"/>
        <v>-1</v>
      </c>
    </row>
    <row r="306" spans="2:21" x14ac:dyDescent="0.3">
      <c r="B306" s="5">
        <v>46044</v>
      </c>
      <c r="C306" s="6">
        <v>1289000</v>
      </c>
      <c r="D306" s="6">
        <v>1289000</v>
      </c>
      <c r="E306" s="6">
        <v>1315000</v>
      </c>
      <c r="F306" s="6">
        <v>205157</v>
      </c>
      <c r="G306" s="6">
        <v>265237033500</v>
      </c>
      <c r="H306" s="6">
        <f t="shared" si="38"/>
        <v>1133000</v>
      </c>
      <c r="I306" s="6">
        <f t="shared" si="39"/>
        <v>1304957.1199129522</v>
      </c>
      <c r="J306" s="6">
        <f t="shared" si="40"/>
        <v>1289000</v>
      </c>
      <c r="K306" s="6"/>
      <c r="L306">
        <v>684000</v>
      </c>
      <c r="M306">
        <f t="shared" si="41"/>
        <v>1042000</v>
      </c>
      <c r="N306">
        <f t="shared" si="42"/>
        <v>1042000</v>
      </c>
      <c r="O306">
        <f t="shared" si="43"/>
        <v>684000</v>
      </c>
      <c r="P306">
        <f t="shared" si="44"/>
        <v>-684000</v>
      </c>
      <c r="Q306" s="30">
        <f>VLOOKUP(B306,Sheet2!$A$15:$G$380,5,FALSE)*S306/10</f>
        <v>0</v>
      </c>
      <c r="R306" s="30">
        <f>VLOOKUP(B306,Sheet2!$A$15:$G$380,7,FALSE)*S306/10</f>
        <v>0</v>
      </c>
      <c r="T306" s="33">
        <f t="shared" si="45"/>
        <v>-1</v>
      </c>
      <c r="U306" s="33">
        <f t="shared" si="46"/>
        <v>-1</v>
      </c>
    </row>
    <row r="307" spans="2:21" x14ac:dyDescent="0.3">
      <c r="B307" s="5">
        <v>46045</v>
      </c>
      <c r="C307" s="6">
        <v>1255000</v>
      </c>
      <c r="D307" s="6">
        <v>1255000</v>
      </c>
      <c r="E307" s="6">
        <v>1289000</v>
      </c>
      <c r="F307" s="6">
        <v>260134</v>
      </c>
      <c r="G307" s="6">
        <v>326708122497</v>
      </c>
      <c r="H307" s="6">
        <f t="shared" si="38"/>
        <v>1140000</v>
      </c>
      <c r="I307" s="6">
        <f t="shared" si="39"/>
        <v>1298765.3959425348</v>
      </c>
      <c r="J307" s="6">
        <f t="shared" si="40"/>
        <v>1255000</v>
      </c>
      <c r="K307" s="6"/>
      <c r="L307">
        <v>684000</v>
      </c>
      <c r="M307">
        <f t="shared" si="41"/>
        <v>1033000</v>
      </c>
      <c r="N307">
        <f t="shared" si="42"/>
        <v>1033000</v>
      </c>
      <c r="O307">
        <f t="shared" si="43"/>
        <v>684000</v>
      </c>
      <c r="P307">
        <f t="shared" si="44"/>
        <v>-684000</v>
      </c>
      <c r="Q307" s="30">
        <f>VLOOKUP(B307,Sheet2!$A$15:$G$380,5,FALSE)*S307/10</f>
        <v>0</v>
      </c>
      <c r="R307" s="30">
        <f>VLOOKUP(B307,Sheet2!$A$15:$G$380,7,FALSE)*S307/10</f>
        <v>0</v>
      </c>
      <c r="T307" s="33">
        <f t="shared" si="45"/>
        <v>-1</v>
      </c>
      <c r="U307" s="33">
        <f t="shared" si="46"/>
        <v>-1</v>
      </c>
    </row>
    <row r="308" spans="2:21" x14ac:dyDescent="0.3">
      <c r="B308" s="5">
        <v>46046</v>
      </c>
      <c r="C308" s="6">
        <v>1255000</v>
      </c>
      <c r="D308" s="6">
        <v>1255000</v>
      </c>
      <c r="E308" s="6">
        <v>1289000</v>
      </c>
      <c r="F308" s="6">
        <v>260134</v>
      </c>
      <c r="G308" s="6">
        <v>326708122497</v>
      </c>
      <c r="H308" s="6">
        <f t="shared" si="38"/>
        <v>1147000</v>
      </c>
      <c r="I308" s="6">
        <f t="shared" si="39"/>
        <v>1292345.6879367144</v>
      </c>
      <c r="J308" s="6">
        <f t="shared" si="40"/>
        <v>1255000</v>
      </c>
      <c r="K308" s="6"/>
      <c r="L308">
        <v>684000</v>
      </c>
      <c r="M308">
        <f t="shared" si="41"/>
        <v>1033000</v>
      </c>
      <c r="N308">
        <f t="shared" si="42"/>
        <v>1033000</v>
      </c>
      <c r="O308">
        <f t="shared" si="43"/>
        <v>684000</v>
      </c>
      <c r="P308">
        <f t="shared" si="44"/>
        <v>-684000</v>
      </c>
      <c r="Q308" s="30">
        <f>VLOOKUP(B308,Sheet2!$A$15:$G$380,5,FALSE)*S308/10</f>
        <v>0</v>
      </c>
      <c r="R308" s="30">
        <f>VLOOKUP(B308,Sheet2!$A$15:$G$380,7,FALSE)*S308/10</f>
        <v>0</v>
      </c>
      <c r="T308" s="33">
        <f t="shared" si="45"/>
        <v>-1</v>
      </c>
      <c r="U308" s="33">
        <f t="shared" si="46"/>
        <v>-1</v>
      </c>
    </row>
    <row r="309" spans="2:21" x14ac:dyDescent="0.3">
      <c r="B309" s="7">
        <v>46047</v>
      </c>
      <c r="C309" s="8">
        <v>1255000</v>
      </c>
      <c r="D309" s="8">
        <v>1255000</v>
      </c>
      <c r="E309" s="8">
        <v>1289000</v>
      </c>
      <c r="F309" s="8">
        <v>260134</v>
      </c>
      <c r="G309" s="8">
        <v>326708122497</v>
      </c>
      <c r="H309" s="6">
        <f t="shared" si="38"/>
        <v>1154000</v>
      </c>
      <c r="I309" s="6">
        <f t="shared" si="39"/>
        <v>1285685.1679061681</v>
      </c>
      <c r="J309" s="6">
        <f t="shared" si="40"/>
        <v>1255000</v>
      </c>
      <c r="K309" s="6"/>
      <c r="L309">
        <v>684000</v>
      </c>
      <c r="M309">
        <f t="shared" si="41"/>
        <v>1033000</v>
      </c>
      <c r="N309">
        <f t="shared" si="42"/>
        <v>1033000</v>
      </c>
      <c r="O309">
        <f t="shared" si="43"/>
        <v>684000</v>
      </c>
      <c r="P309">
        <f t="shared" si="44"/>
        <v>-684000</v>
      </c>
      <c r="Q309" s="30">
        <f>VLOOKUP(B309,Sheet2!$A$15:$G$380,5,FALSE)*S309/10</f>
        <v>0</v>
      </c>
      <c r="R309" s="30">
        <f>VLOOKUP(B309,Sheet2!$A$15:$G$380,7,FALSE)*S309/10</f>
        <v>0</v>
      </c>
      <c r="T309" s="33">
        <f t="shared" si="45"/>
        <v>-1</v>
      </c>
      <c r="U309" s="33">
        <f t="shared" si="46"/>
        <v>-1</v>
      </c>
    </row>
    <row r="310" spans="2:21" x14ac:dyDescent="0.3">
      <c r="B310" s="5">
        <v>46048</v>
      </c>
      <c r="C310" s="6">
        <v>1262000</v>
      </c>
      <c r="D310" s="6">
        <v>1262000</v>
      </c>
      <c r="E310" s="6">
        <v>1255000</v>
      </c>
      <c r="F310" s="6">
        <v>126918</v>
      </c>
      <c r="G310" s="6">
        <v>161390384508</v>
      </c>
      <c r="H310" s="6">
        <f t="shared" si="38"/>
        <v>1159000</v>
      </c>
      <c r="I310" s="6">
        <f t="shared" si="39"/>
        <v>1279957.1136346865</v>
      </c>
      <c r="J310" s="6">
        <f t="shared" si="40"/>
        <v>1262000</v>
      </c>
      <c r="K310" s="6"/>
      <c r="L310">
        <v>684000</v>
      </c>
      <c r="M310">
        <f t="shared" si="41"/>
        <v>1035000</v>
      </c>
      <c r="N310">
        <f t="shared" si="42"/>
        <v>1035000</v>
      </c>
      <c r="O310">
        <f t="shared" si="43"/>
        <v>684000</v>
      </c>
      <c r="P310">
        <f t="shared" si="44"/>
        <v>-684000</v>
      </c>
      <c r="Q310" s="30">
        <f>VLOOKUP(B310,Sheet2!$A$15:$G$380,5,FALSE)*S310/10</f>
        <v>0</v>
      </c>
      <c r="R310" s="30">
        <f>VLOOKUP(B310,Sheet2!$A$15:$G$380,7,FALSE)*S310/10</f>
        <v>0</v>
      </c>
      <c r="T310" s="33">
        <f t="shared" si="45"/>
        <v>-1</v>
      </c>
      <c r="U310" s="33">
        <f t="shared" si="46"/>
        <v>-1</v>
      </c>
    </row>
    <row r="311" spans="2:21" x14ac:dyDescent="0.3">
      <c r="B311" s="5">
        <v>46049</v>
      </c>
      <c r="C311" s="6">
        <v>1230000</v>
      </c>
      <c r="D311" s="6">
        <v>1230000</v>
      </c>
      <c r="E311" s="6">
        <v>1262000</v>
      </c>
      <c r="F311" s="6">
        <v>154527</v>
      </c>
      <c r="G311" s="6">
        <v>191788008000</v>
      </c>
      <c r="H311" s="6">
        <f t="shared" si="38"/>
        <v>1164000</v>
      </c>
      <c r="I311" s="6">
        <f t="shared" si="39"/>
        <v>1268543.9682838977</v>
      </c>
      <c r="J311" s="6">
        <f t="shared" si="40"/>
        <v>1230000</v>
      </c>
      <c r="K311" s="6"/>
      <c r="L311">
        <v>684000</v>
      </c>
      <c r="M311">
        <f t="shared" si="41"/>
        <v>1024000</v>
      </c>
      <c r="N311">
        <f t="shared" si="42"/>
        <v>1024000</v>
      </c>
      <c r="O311">
        <f t="shared" si="43"/>
        <v>684000</v>
      </c>
      <c r="P311">
        <f t="shared" si="44"/>
        <v>-684000</v>
      </c>
      <c r="Q311" s="30">
        <f>VLOOKUP(B311,Sheet2!$A$15:$G$380,5,FALSE)*S311/10</f>
        <v>0</v>
      </c>
      <c r="R311" s="30">
        <f>VLOOKUP(B311,Sheet2!$A$15:$G$380,7,FALSE)*S311/10</f>
        <v>0</v>
      </c>
      <c r="T311" s="33">
        <f t="shared" si="45"/>
        <v>-1</v>
      </c>
      <c r="U311" s="33">
        <f t="shared" si="46"/>
        <v>-1</v>
      </c>
    </row>
    <row r="312" spans="2:21" x14ac:dyDescent="0.3">
      <c r="B312" s="5">
        <v>46050</v>
      </c>
      <c r="C312" s="6">
        <v>1288000</v>
      </c>
      <c r="D312" s="6">
        <v>1288000</v>
      </c>
      <c r="E312" s="6">
        <v>1230000</v>
      </c>
      <c r="F312" s="6">
        <v>180905</v>
      </c>
      <c r="G312" s="6">
        <v>231289039500</v>
      </c>
      <c r="H312" s="6">
        <f t="shared" si="38"/>
        <v>1176000</v>
      </c>
      <c r="I312" s="6">
        <f t="shared" si="39"/>
        <v>1263773.3676626086</v>
      </c>
      <c r="J312" s="6">
        <f t="shared" si="40"/>
        <v>1288000</v>
      </c>
      <c r="K312" s="6"/>
      <c r="L312">
        <v>684000</v>
      </c>
      <c r="M312">
        <f t="shared" si="41"/>
        <v>1043000</v>
      </c>
      <c r="N312">
        <f t="shared" si="42"/>
        <v>1043000</v>
      </c>
      <c r="O312">
        <f t="shared" si="43"/>
        <v>684000</v>
      </c>
      <c r="P312">
        <f t="shared" si="44"/>
        <v>-684000</v>
      </c>
      <c r="Q312" s="30">
        <f>VLOOKUP(B312,Sheet2!$A$15:$G$380,5,FALSE)*S312/10</f>
        <v>0</v>
      </c>
      <c r="R312" s="30">
        <f>VLOOKUP(B312,Sheet2!$A$15:$G$380,7,FALSE)*S312/10</f>
        <v>0</v>
      </c>
      <c r="T312" s="33">
        <f t="shared" si="45"/>
        <v>-1</v>
      </c>
      <c r="U312" s="33">
        <f t="shared" si="46"/>
        <v>-1</v>
      </c>
    </row>
    <row r="313" spans="2:21" x14ac:dyDescent="0.3">
      <c r="B313" s="5">
        <v>46051</v>
      </c>
      <c r="C313" s="6">
        <v>1300000</v>
      </c>
      <c r="D313" s="6">
        <v>1300000</v>
      </c>
      <c r="E313" s="6">
        <v>1288000</v>
      </c>
      <c r="F313" s="6">
        <v>227097</v>
      </c>
      <c r="G313" s="6">
        <v>294414209500</v>
      </c>
      <c r="H313" s="6">
        <f t="shared" si="38"/>
        <v>1185000</v>
      </c>
      <c r="I313" s="6">
        <f t="shared" si="39"/>
        <v>1264759.8556035347</v>
      </c>
      <c r="J313" s="6">
        <f t="shared" si="40"/>
        <v>1300000</v>
      </c>
      <c r="K313" s="6"/>
      <c r="L313">
        <v>684000</v>
      </c>
      <c r="M313">
        <f t="shared" si="41"/>
        <v>1049000</v>
      </c>
      <c r="N313">
        <f t="shared" si="42"/>
        <v>1049000</v>
      </c>
      <c r="O313">
        <f t="shared" si="43"/>
        <v>684000</v>
      </c>
      <c r="P313">
        <f t="shared" si="44"/>
        <v>-684000</v>
      </c>
      <c r="Q313" s="30">
        <f>VLOOKUP(B313,Sheet2!$A$15:$G$380,5,FALSE)*S313/10</f>
        <v>0</v>
      </c>
      <c r="R313" s="30">
        <f>VLOOKUP(B313,Sheet2!$A$15:$G$380,7,FALSE)*S313/10</f>
        <v>0</v>
      </c>
      <c r="T313" s="33">
        <f t="shared" si="45"/>
        <v>-1</v>
      </c>
      <c r="U313" s="33">
        <f t="shared" si="46"/>
        <v>-1</v>
      </c>
    </row>
    <row r="314" spans="2:21" x14ac:dyDescent="0.3">
      <c r="B314" s="7">
        <v>46052</v>
      </c>
      <c r="C314" s="8">
        <v>1300000</v>
      </c>
      <c r="D314" s="8">
        <v>1300000</v>
      </c>
      <c r="E314" s="8">
        <v>1300000</v>
      </c>
      <c r="F314" s="8">
        <v>247057</v>
      </c>
      <c r="G314" s="8">
        <v>322009085500</v>
      </c>
      <c r="H314" s="6">
        <f t="shared" si="38"/>
        <v>1194000</v>
      </c>
      <c r="I314" s="6">
        <f t="shared" si="39"/>
        <v>1272887.570602675</v>
      </c>
      <c r="J314" s="6">
        <f t="shared" si="40"/>
        <v>1300000</v>
      </c>
      <c r="K314" s="6"/>
      <c r="L314">
        <v>684000</v>
      </c>
      <c r="M314">
        <f t="shared" si="41"/>
        <v>1054000</v>
      </c>
      <c r="N314">
        <f t="shared" si="42"/>
        <v>1054000</v>
      </c>
      <c r="O314">
        <f t="shared" si="43"/>
        <v>684000</v>
      </c>
      <c r="P314">
        <f t="shared" si="44"/>
        <v>-684000</v>
      </c>
      <c r="Q314" s="30">
        <f>VLOOKUP(B314,Sheet2!$A$15:$G$380,5,FALSE)*S314/10</f>
        <v>0</v>
      </c>
      <c r="R314" s="30">
        <f>VLOOKUP(B314,Sheet2!$A$15:$G$380,7,FALSE)*S314/10</f>
        <v>0</v>
      </c>
      <c r="T314" s="33">
        <f t="shared" si="45"/>
        <v>-1</v>
      </c>
      <c r="U314" s="33">
        <f t="shared" si="46"/>
        <v>-1</v>
      </c>
    </row>
    <row r="315" spans="2:21" x14ac:dyDescent="0.3">
      <c r="B315" s="5">
        <v>46053</v>
      </c>
      <c r="C315" s="6">
        <v>1300000</v>
      </c>
      <c r="D315" s="6">
        <v>1300000</v>
      </c>
      <c r="E315" s="6">
        <v>1300000</v>
      </c>
      <c r="F315" s="6">
        <v>247057</v>
      </c>
      <c r="G315" s="6">
        <v>322009085500</v>
      </c>
      <c r="H315" s="6">
        <f t="shared" si="38"/>
        <v>1203000</v>
      </c>
      <c r="I315" s="6">
        <f t="shared" si="39"/>
        <v>1281162.5274071046</v>
      </c>
      <c r="J315" s="6">
        <f t="shared" si="40"/>
        <v>1300000</v>
      </c>
      <c r="K315" s="6"/>
      <c r="L315">
        <v>684000</v>
      </c>
      <c r="M315">
        <f t="shared" si="41"/>
        <v>1058000</v>
      </c>
      <c r="N315">
        <f t="shared" si="42"/>
        <v>1058000</v>
      </c>
      <c r="O315">
        <f t="shared" si="43"/>
        <v>684000</v>
      </c>
      <c r="P315">
        <f t="shared" si="44"/>
        <v>-684000</v>
      </c>
      <c r="Q315" s="30">
        <f>VLOOKUP(B315,Sheet2!$A$15:$G$380,5,FALSE)*S315/10</f>
        <v>0</v>
      </c>
      <c r="R315" s="30">
        <f>VLOOKUP(B315,Sheet2!$A$15:$G$380,7,FALSE)*S315/10</f>
        <v>0</v>
      </c>
      <c r="T315" s="33">
        <f t="shared" si="45"/>
        <v>-1</v>
      </c>
      <c r="U315" s="33">
        <f t="shared" si="46"/>
        <v>-1</v>
      </c>
    </row>
    <row r="316" spans="2:21" x14ac:dyDescent="0.3">
      <c r="B316" s="5">
        <v>46054</v>
      </c>
      <c r="C316" s="6">
        <v>1300000</v>
      </c>
      <c r="D316" s="6">
        <v>1300000</v>
      </c>
      <c r="E316" s="6">
        <v>1300000</v>
      </c>
      <c r="F316" s="6">
        <v>247057</v>
      </c>
      <c r="G316" s="6">
        <v>322009085500</v>
      </c>
      <c r="H316" s="6">
        <f t="shared" ref="H316:H379" si="47">CEILING(SUM(G287:G316)/SUM(F287:F316),1000)</f>
        <v>1210000</v>
      </c>
      <c r="I316" s="6">
        <f t="shared" ref="I316:I379" si="48">SUM(G310:G316)/SUM(F310:F316)</f>
        <v>1289588.7637426623</v>
      </c>
      <c r="J316" s="6">
        <f t="shared" si="40"/>
        <v>1300000</v>
      </c>
      <c r="K316" s="6"/>
      <c r="L316">
        <v>684000</v>
      </c>
      <c r="M316">
        <f t="shared" si="41"/>
        <v>1063000</v>
      </c>
      <c r="N316">
        <f t="shared" si="42"/>
        <v>1063000</v>
      </c>
      <c r="O316">
        <f t="shared" si="43"/>
        <v>684000</v>
      </c>
      <c r="P316">
        <f t="shared" si="44"/>
        <v>-684000</v>
      </c>
      <c r="Q316" s="30">
        <f>VLOOKUP(B316,Sheet2!$A$15:$G$380,5,FALSE)*S316/10</f>
        <v>0</v>
      </c>
      <c r="R316" s="30">
        <f>VLOOKUP(B316,Sheet2!$A$15:$G$380,7,FALSE)*S316/10</f>
        <v>0</v>
      </c>
      <c r="T316" s="33">
        <f t="shared" si="45"/>
        <v>-1</v>
      </c>
      <c r="U316" s="33">
        <f t="shared" si="46"/>
        <v>-1</v>
      </c>
    </row>
    <row r="317" spans="2:21" x14ac:dyDescent="0.3">
      <c r="B317" s="5">
        <v>46055</v>
      </c>
      <c r="C317" s="6">
        <v>1239000</v>
      </c>
      <c r="D317" s="6">
        <v>1239000</v>
      </c>
      <c r="E317" s="6">
        <v>1300000</v>
      </c>
      <c r="F317" s="6">
        <v>312729</v>
      </c>
      <c r="G317" s="6">
        <v>397618806000</v>
      </c>
      <c r="H317" s="6">
        <f t="shared" si="47"/>
        <v>1217000</v>
      </c>
      <c r="I317" s="6">
        <f t="shared" si="48"/>
        <v>1287490.709149613</v>
      </c>
      <c r="J317" s="6">
        <f t="shared" si="40"/>
        <v>1239000</v>
      </c>
      <c r="K317" s="6"/>
      <c r="L317">
        <v>684000</v>
      </c>
      <c r="M317">
        <f t="shared" si="41"/>
        <v>1040000</v>
      </c>
      <c r="N317">
        <f t="shared" si="42"/>
        <v>1040000</v>
      </c>
      <c r="O317">
        <f t="shared" si="43"/>
        <v>684000</v>
      </c>
      <c r="P317">
        <f t="shared" si="44"/>
        <v>-684000</v>
      </c>
      <c r="Q317" s="30">
        <f>VLOOKUP(B317,Sheet2!$A$15:$G$380,5,FALSE)*S317/10</f>
        <v>0</v>
      </c>
      <c r="R317" s="30">
        <f>VLOOKUP(B317,Sheet2!$A$15:$G$380,7,FALSE)*S317/10</f>
        <v>0</v>
      </c>
      <c r="T317" s="33">
        <f t="shared" si="45"/>
        <v>-1</v>
      </c>
      <c r="U317" s="33">
        <f t="shared" si="46"/>
        <v>-1</v>
      </c>
    </row>
    <row r="318" spans="2:21" x14ac:dyDescent="0.3">
      <c r="B318" s="5">
        <v>46056</v>
      </c>
      <c r="C318" s="6">
        <v>1299000</v>
      </c>
      <c r="D318" s="6">
        <v>1299000</v>
      </c>
      <c r="E318" s="6">
        <v>1239000</v>
      </c>
      <c r="F318" s="6">
        <v>203785</v>
      </c>
      <c r="G318" s="6">
        <v>263753031500</v>
      </c>
      <c r="H318" s="6">
        <f t="shared" si="47"/>
        <v>1223000</v>
      </c>
      <c r="I318" s="6">
        <f t="shared" si="48"/>
        <v>1292621.2085463835</v>
      </c>
      <c r="J318" s="6">
        <f t="shared" si="40"/>
        <v>1299000</v>
      </c>
      <c r="K318" s="6"/>
      <c r="L318">
        <v>684000</v>
      </c>
      <c r="M318">
        <f t="shared" si="41"/>
        <v>1067000</v>
      </c>
      <c r="N318">
        <f t="shared" si="42"/>
        <v>1067000</v>
      </c>
      <c r="O318">
        <f t="shared" si="43"/>
        <v>684000</v>
      </c>
      <c r="P318">
        <f t="shared" si="44"/>
        <v>-684000</v>
      </c>
      <c r="Q318" s="30">
        <f>VLOOKUP(B318,Sheet2!$A$15:$G$380,5,FALSE)*S318/10</f>
        <v>0</v>
      </c>
      <c r="R318" s="30">
        <f>VLOOKUP(B318,Sheet2!$A$15:$G$380,7,FALSE)*S318/10</f>
        <v>0</v>
      </c>
      <c r="T318" s="33">
        <f t="shared" si="45"/>
        <v>-1</v>
      </c>
      <c r="U318" s="33">
        <f t="shared" si="46"/>
        <v>-1</v>
      </c>
    </row>
    <row r="319" spans="2:21" x14ac:dyDescent="0.3">
      <c r="B319" s="7">
        <v>46057</v>
      </c>
      <c r="C319" s="8">
        <v>1324000</v>
      </c>
      <c r="D319" s="8">
        <v>1324000</v>
      </c>
      <c r="E319" s="8">
        <v>1299000</v>
      </c>
      <c r="F319" s="8">
        <v>143922</v>
      </c>
      <c r="G319" s="8">
        <v>188803163000</v>
      </c>
      <c r="H319" s="6">
        <f t="shared" si="47"/>
        <v>1233000</v>
      </c>
      <c r="I319" s="6">
        <f t="shared" si="48"/>
        <v>1295887.0773940508</v>
      </c>
      <c r="J319" s="6">
        <f t="shared" si="40"/>
        <v>1324000</v>
      </c>
      <c r="K319" s="6"/>
      <c r="L319">
        <v>684000</v>
      </c>
      <c r="M319">
        <f t="shared" si="41"/>
        <v>1078000</v>
      </c>
      <c r="N319">
        <f t="shared" si="42"/>
        <v>1078000</v>
      </c>
      <c r="O319">
        <f t="shared" si="43"/>
        <v>684000</v>
      </c>
      <c r="P319">
        <f t="shared" si="44"/>
        <v>-684000</v>
      </c>
      <c r="Q319" s="30">
        <f>VLOOKUP(B319,Sheet2!$A$15:$G$380,5,FALSE)*S319/10</f>
        <v>0</v>
      </c>
      <c r="R319" s="30">
        <f>VLOOKUP(B319,Sheet2!$A$15:$G$380,7,FALSE)*S319/10</f>
        <v>0</v>
      </c>
      <c r="T319" s="33">
        <f t="shared" si="45"/>
        <v>-1</v>
      </c>
      <c r="U319" s="33">
        <f t="shared" si="46"/>
        <v>-1</v>
      </c>
    </row>
    <row r="320" spans="2:21" x14ac:dyDescent="0.3">
      <c r="B320" s="5">
        <v>46058</v>
      </c>
      <c r="C320" s="6">
        <v>1227000</v>
      </c>
      <c r="D320" s="6">
        <v>1227000</v>
      </c>
      <c r="E320" s="6">
        <v>1324000</v>
      </c>
      <c r="F320" s="6">
        <v>333625</v>
      </c>
      <c r="G320" s="6">
        <v>414383981500</v>
      </c>
      <c r="H320" s="6">
        <f t="shared" si="47"/>
        <v>1241000</v>
      </c>
      <c r="I320" s="6">
        <f t="shared" si="48"/>
        <v>1285468.5935367721</v>
      </c>
      <c r="J320" s="6">
        <f t="shared" si="40"/>
        <v>1227000</v>
      </c>
      <c r="K320" s="6"/>
      <c r="L320">
        <v>684000</v>
      </c>
      <c r="M320">
        <f t="shared" si="41"/>
        <v>1030000</v>
      </c>
      <c r="N320">
        <f t="shared" si="42"/>
        <v>1030000</v>
      </c>
      <c r="O320">
        <f t="shared" si="43"/>
        <v>684000</v>
      </c>
      <c r="P320">
        <f t="shared" si="44"/>
        <v>-684000</v>
      </c>
      <c r="Q320" s="30">
        <f>VLOOKUP(B320,Sheet2!$A$15:$G$380,5,FALSE)*S320/10</f>
        <v>0</v>
      </c>
      <c r="R320" s="30">
        <f>VLOOKUP(B320,Sheet2!$A$15:$G$380,7,FALSE)*S320/10</f>
        <v>0</v>
      </c>
      <c r="T320" s="33">
        <f t="shared" si="45"/>
        <v>-1</v>
      </c>
      <c r="U320" s="33">
        <f t="shared" si="46"/>
        <v>-1</v>
      </c>
    </row>
    <row r="321" spans="2:21" x14ac:dyDescent="0.3">
      <c r="B321" s="5">
        <v>46059</v>
      </c>
      <c r="C321" s="6">
        <v>1181000</v>
      </c>
      <c r="D321" s="6">
        <v>1181000</v>
      </c>
      <c r="E321" s="6">
        <v>1227000</v>
      </c>
      <c r="F321" s="6">
        <v>295504</v>
      </c>
      <c r="G321" s="6">
        <v>342100412000</v>
      </c>
      <c r="H321" s="6">
        <f t="shared" si="47"/>
        <v>1245000</v>
      </c>
      <c r="I321" s="6">
        <f t="shared" si="48"/>
        <v>1261817.6056341976</v>
      </c>
      <c r="J321" s="6">
        <f t="shared" si="40"/>
        <v>1181000</v>
      </c>
      <c r="K321" s="6"/>
      <c r="L321">
        <v>684000</v>
      </c>
      <c r="M321">
        <f t="shared" si="41"/>
        <v>991000</v>
      </c>
      <c r="N321">
        <f t="shared" si="42"/>
        <v>991000</v>
      </c>
      <c r="O321">
        <f t="shared" si="43"/>
        <v>684000</v>
      </c>
      <c r="P321">
        <f t="shared" si="44"/>
        <v>-684000</v>
      </c>
      <c r="Q321" s="30">
        <f>VLOOKUP(B321,Sheet2!$A$15:$G$380,5,FALSE)*S321/10</f>
        <v>0</v>
      </c>
      <c r="R321" s="30">
        <f>VLOOKUP(B321,Sheet2!$A$15:$G$380,7,FALSE)*S321/10</f>
        <v>0</v>
      </c>
      <c r="T321" s="33">
        <f t="shared" si="45"/>
        <v>-1</v>
      </c>
      <c r="U321" s="33">
        <f t="shared" si="46"/>
        <v>-1</v>
      </c>
    </row>
    <row r="322" spans="2:21" x14ac:dyDescent="0.3">
      <c r="B322" s="5">
        <v>46060</v>
      </c>
      <c r="C322" s="6">
        <v>1181000</v>
      </c>
      <c r="D322" s="6">
        <v>1181000</v>
      </c>
      <c r="E322" s="6">
        <v>1227000</v>
      </c>
      <c r="F322" s="6">
        <v>295504</v>
      </c>
      <c r="G322" s="6">
        <v>342100412000</v>
      </c>
      <c r="H322" s="6">
        <f t="shared" si="47"/>
        <v>1252000</v>
      </c>
      <c r="I322" s="6">
        <f t="shared" si="48"/>
        <v>1239417.426257801</v>
      </c>
      <c r="J322" s="6">
        <f t="shared" si="40"/>
        <v>1181000</v>
      </c>
      <c r="K322" s="6"/>
      <c r="L322">
        <v>684000</v>
      </c>
      <c r="M322">
        <f t="shared" si="41"/>
        <v>991000</v>
      </c>
      <c r="N322">
        <f t="shared" si="42"/>
        <v>991000</v>
      </c>
      <c r="O322">
        <f t="shared" si="43"/>
        <v>684000</v>
      </c>
      <c r="P322">
        <f t="shared" si="44"/>
        <v>-684000</v>
      </c>
      <c r="Q322" s="30">
        <f>VLOOKUP(B322,Sheet2!$A$15:$G$380,5,FALSE)*S322/10</f>
        <v>0</v>
      </c>
      <c r="R322" s="30">
        <f>VLOOKUP(B322,Sheet2!$A$15:$G$380,7,FALSE)*S322/10</f>
        <v>0</v>
      </c>
      <c r="T322" s="33">
        <f t="shared" si="45"/>
        <v>-1</v>
      </c>
      <c r="U322" s="33">
        <f t="shared" si="46"/>
        <v>-1</v>
      </c>
    </row>
    <row r="323" spans="2:21" x14ac:dyDescent="0.3">
      <c r="B323" s="5">
        <v>46061</v>
      </c>
      <c r="C323" s="6">
        <v>1181000</v>
      </c>
      <c r="D323" s="6">
        <v>1181000</v>
      </c>
      <c r="E323" s="6">
        <v>1227000</v>
      </c>
      <c r="F323" s="6">
        <v>295504</v>
      </c>
      <c r="G323" s="6">
        <v>342100412000</v>
      </c>
      <c r="H323" s="6">
        <f t="shared" si="47"/>
        <v>1254000</v>
      </c>
      <c r="I323" s="6">
        <f t="shared" si="48"/>
        <v>1218171.3860615888</v>
      </c>
      <c r="J323" s="6">
        <f t="shared" si="40"/>
        <v>1181000</v>
      </c>
      <c r="K323" s="6"/>
      <c r="L323">
        <v>684000</v>
      </c>
      <c r="M323">
        <f t="shared" si="41"/>
        <v>991000</v>
      </c>
      <c r="N323">
        <f t="shared" si="42"/>
        <v>991000</v>
      </c>
      <c r="O323">
        <f t="shared" si="43"/>
        <v>684000</v>
      </c>
      <c r="P323">
        <f t="shared" si="44"/>
        <v>-684000</v>
      </c>
      <c r="Q323" s="30">
        <f>VLOOKUP(B323,Sheet2!$A$15:$G$380,5,FALSE)*S323/10</f>
        <v>0</v>
      </c>
      <c r="R323" s="30">
        <f>VLOOKUP(B323,Sheet2!$A$15:$G$380,7,FALSE)*S323/10</f>
        <v>0</v>
      </c>
      <c r="T323" s="33">
        <f t="shared" si="45"/>
        <v>-1</v>
      </c>
      <c r="U323" s="33">
        <f t="shared" si="46"/>
        <v>-1</v>
      </c>
    </row>
    <row r="324" spans="2:21" x14ac:dyDescent="0.3">
      <c r="B324" s="7">
        <v>46062</v>
      </c>
      <c r="C324" s="8">
        <v>1193000</v>
      </c>
      <c r="D324" s="8">
        <v>1193000</v>
      </c>
      <c r="E324" s="8">
        <v>1181000</v>
      </c>
      <c r="F324" s="8">
        <v>275049</v>
      </c>
      <c r="G324" s="8">
        <v>338107950500</v>
      </c>
      <c r="H324" s="6">
        <f t="shared" si="47"/>
        <v>1258000</v>
      </c>
      <c r="I324" s="6">
        <f t="shared" si="48"/>
        <v>1210786.1728814424</v>
      </c>
      <c r="J324" s="6">
        <f t="shared" si="40"/>
        <v>1193000</v>
      </c>
      <c r="K324" s="6"/>
      <c r="L324">
        <v>684000</v>
      </c>
      <c r="M324">
        <f t="shared" si="41"/>
        <v>1001000</v>
      </c>
      <c r="N324">
        <f t="shared" si="42"/>
        <v>1001000</v>
      </c>
      <c r="O324">
        <f t="shared" si="43"/>
        <v>684000</v>
      </c>
      <c r="P324">
        <f t="shared" si="44"/>
        <v>-684000</v>
      </c>
      <c r="Q324" s="30">
        <f>VLOOKUP(B324,Sheet2!$A$15:$G$380,5,FALSE)*S324/10</f>
        <v>0</v>
      </c>
      <c r="R324" s="30">
        <f>VLOOKUP(B324,Sheet2!$A$15:$G$380,7,FALSE)*S324/10</f>
        <v>0</v>
      </c>
      <c r="T324" s="33">
        <f t="shared" si="45"/>
        <v>-1</v>
      </c>
      <c r="U324" s="33">
        <f t="shared" si="46"/>
        <v>-1</v>
      </c>
    </row>
    <row r="325" spans="2:21" x14ac:dyDescent="0.3">
      <c r="B325" s="5">
        <v>46063</v>
      </c>
      <c r="C325" s="6">
        <v>1146000</v>
      </c>
      <c r="D325" s="6">
        <v>1146000</v>
      </c>
      <c r="E325" s="6">
        <v>1193000</v>
      </c>
      <c r="F325" s="6">
        <v>504416</v>
      </c>
      <c r="G325" s="6">
        <v>574068851829</v>
      </c>
      <c r="H325" s="6">
        <f t="shared" si="47"/>
        <v>1256000</v>
      </c>
      <c r="I325" s="6">
        <f t="shared" si="48"/>
        <v>1185741.4159248974</v>
      </c>
      <c r="J325" s="6">
        <f t="shared" si="40"/>
        <v>1146000</v>
      </c>
      <c r="K325" s="6"/>
      <c r="L325">
        <v>684000</v>
      </c>
      <c r="M325">
        <f t="shared" si="41"/>
        <v>962000</v>
      </c>
      <c r="N325">
        <f t="shared" si="42"/>
        <v>962000</v>
      </c>
      <c r="O325">
        <f t="shared" si="43"/>
        <v>684000</v>
      </c>
      <c r="P325">
        <f t="shared" si="44"/>
        <v>-684000</v>
      </c>
      <c r="Q325" s="30">
        <f>VLOOKUP(B325,Sheet2!$A$15:$G$380,5,FALSE)*S325/10</f>
        <v>0</v>
      </c>
      <c r="R325" s="30">
        <f>VLOOKUP(B325,Sheet2!$A$15:$G$380,7,FALSE)*S325/10</f>
        <v>0</v>
      </c>
      <c r="T325" s="33">
        <f t="shared" si="45"/>
        <v>-1</v>
      </c>
      <c r="U325" s="33">
        <f t="shared" si="46"/>
        <v>-1</v>
      </c>
    </row>
    <row r="326" spans="2:21" x14ac:dyDescent="0.3">
      <c r="B326" s="5">
        <v>46064</v>
      </c>
      <c r="C326" s="6">
        <v>1130000</v>
      </c>
      <c r="D326" s="6">
        <v>1130000</v>
      </c>
      <c r="E326" s="6">
        <v>1146000</v>
      </c>
      <c r="F326" s="6">
        <v>248096</v>
      </c>
      <c r="G326" s="6">
        <v>282302893328</v>
      </c>
      <c r="H326" s="6">
        <f t="shared" si="47"/>
        <v>1254000</v>
      </c>
      <c r="I326" s="6">
        <f t="shared" si="48"/>
        <v>1172383.8848266092</v>
      </c>
      <c r="J326" s="6">
        <f t="shared" si="40"/>
        <v>1130000</v>
      </c>
      <c r="K326" s="6"/>
      <c r="L326">
        <v>684000</v>
      </c>
      <c r="M326">
        <f t="shared" si="41"/>
        <v>948000</v>
      </c>
      <c r="N326">
        <f t="shared" si="42"/>
        <v>948000</v>
      </c>
      <c r="O326">
        <f t="shared" si="43"/>
        <v>684000</v>
      </c>
      <c r="P326">
        <f t="shared" si="44"/>
        <v>-684000</v>
      </c>
      <c r="Q326" s="30">
        <f>VLOOKUP(B326,Sheet2!$A$15:$G$380,5,FALSE)*S326/10</f>
        <v>0</v>
      </c>
      <c r="R326" s="30">
        <f>VLOOKUP(B326,Sheet2!$A$15:$G$380,7,FALSE)*S326/10</f>
        <v>0</v>
      </c>
      <c r="T326" s="33">
        <f t="shared" si="45"/>
        <v>-1</v>
      </c>
      <c r="U326" s="33">
        <f t="shared" si="46"/>
        <v>-1</v>
      </c>
    </row>
    <row r="327" spans="2:21" x14ac:dyDescent="0.3">
      <c r="B327" s="5">
        <v>46065</v>
      </c>
      <c r="C327" s="6">
        <v>1131000</v>
      </c>
      <c r="D327" s="6">
        <v>1131000</v>
      </c>
      <c r="E327" s="6">
        <v>1130000</v>
      </c>
      <c r="F327" s="6">
        <v>210941</v>
      </c>
      <c r="G327" s="6">
        <v>238034277000</v>
      </c>
      <c r="H327" s="6">
        <f t="shared" si="47"/>
        <v>1250000</v>
      </c>
      <c r="I327" s="6">
        <f t="shared" si="48"/>
        <v>1157081.8868285103</v>
      </c>
      <c r="J327" s="6">
        <f t="shared" si="40"/>
        <v>1131000</v>
      </c>
      <c r="K327" s="6"/>
      <c r="L327">
        <v>684000</v>
      </c>
      <c r="M327">
        <f t="shared" si="41"/>
        <v>949000</v>
      </c>
      <c r="N327">
        <f t="shared" si="42"/>
        <v>949000</v>
      </c>
      <c r="O327">
        <f t="shared" si="43"/>
        <v>684000</v>
      </c>
      <c r="P327">
        <f t="shared" si="44"/>
        <v>-684000</v>
      </c>
      <c r="Q327" s="30">
        <f>VLOOKUP(B327,Sheet2!$A$15:$G$380,5,FALSE)*S327/10</f>
        <v>0</v>
      </c>
      <c r="R327" s="30">
        <f>VLOOKUP(B327,Sheet2!$A$15:$G$380,7,FALSE)*S327/10</f>
        <v>0</v>
      </c>
      <c r="T327" s="33">
        <f t="shared" si="45"/>
        <v>-1</v>
      </c>
      <c r="U327" s="33">
        <f t="shared" si="46"/>
        <v>-1</v>
      </c>
    </row>
    <row r="328" spans="2:21" x14ac:dyDescent="0.3">
      <c r="B328" s="5">
        <v>46066</v>
      </c>
      <c r="C328" s="6">
        <v>1105000</v>
      </c>
      <c r="D328" s="6">
        <v>1105000</v>
      </c>
      <c r="E328" s="6">
        <v>1131000</v>
      </c>
      <c r="F328" s="6">
        <v>236946</v>
      </c>
      <c r="G328" s="6">
        <v>263449100500</v>
      </c>
      <c r="H328" s="6">
        <f t="shared" si="47"/>
        <v>1245000</v>
      </c>
      <c r="I328" s="6">
        <f t="shared" si="48"/>
        <v>1151809.6185725706</v>
      </c>
      <c r="J328" s="6">
        <f t="shared" si="40"/>
        <v>1105000</v>
      </c>
      <c r="K328" s="6"/>
      <c r="L328">
        <v>684000</v>
      </c>
      <c r="M328">
        <f t="shared" si="41"/>
        <v>927000</v>
      </c>
      <c r="N328">
        <f t="shared" si="42"/>
        <v>927000</v>
      </c>
      <c r="O328">
        <f t="shared" si="43"/>
        <v>684000</v>
      </c>
      <c r="P328">
        <f t="shared" si="44"/>
        <v>-684000</v>
      </c>
      <c r="Q328" s="30">
        <f>VLOOKUP(B328,Sheet2!$A$15:$G$380,5,FALSE)*S328/10</f>
        <v>0</v>
      </c>
      <c r="R328" s="30">
        <f>VLOOKUP(B328,Sheet2!$A$15:$G$380,7,FALSE)*S328/10</f>
        <v>0</v>
      </c>
      <c r="T328" s="33">
        <f t="shared" si="45"/>
        <v>-1</v>
      </c>
      <c r="U328" s="33">
        <f t="shared" si="46"/>
        <v>-1</v>
      </c>
    </row>
    <row r="329" spans="2:21" x14ac:dyDescent="0.3">
      <c r="B329" s="7">
        <v>46067</v>
      </c>
      <c r="C329" s="8">
        <v>1105000</v>
      </c>
      <c r="D329" s="8">
        <v>1105000</v>
      </c>
      <c r="E329" s="8">
        <v>1131000</v>
      </c>
      <c r="F329" s="8">
        <v>236946</v>
      </c>
      <c r="G329" s="8">
        <v>263449100500</v>
      </c>
      <c r="H329" s="6">
        <f t="shared" si="47"/>
        <v>1240000</v>
      </c>
      <c r="I329" s="6">
        <f t="shared" si="48"/>
        <v>1146229.8312249924</v>
      </c>
      <c r="J329" s="6">
        <f t="shared" si="40"/>
        <v>1105000</v>
      </c>
      <c r="K329" s="6"/>
      <c r="L329">
        <v>684000</v>
      </c>
      <c r="M329">
        <f t="shared" si="41"/>
        <v>927000</v>
      </c>
      <c r="N329">
        <f t="shared" si="42"/>
        <v>927000</v>
      </c>
      <c r="O329">
        <f t="shared" si="43"/>
        <v>684000</v>
      </c>
      <c r="P329">
        <f t="shared" si="44"/>
        <v>-684000</v>
      </c>
      <c r="Q329" s="30">
        <f>VLOOKUP(B329,Sheet2!$A$15:$G$380,5,FALSE)*S329/10</f>
        <v>0</v>
      </c>
      <c r="R329" s="30">
        <f>VLOOKUP(B329,Sheet2!$A$15:$G$380,7,FALSE)*S329/10</f>
        <v>0</v>
      </c>
      <c r="T329" s="33">
        <f t="shared" si="45"/>
        <v>-1</v>
      </c>
      <c r="U329" s="33">
        <f t="shared" si="46"/>
        <v>-1</v>
      </c>
    </row>
    <row r="330" spans="2:21" x14ac:dyDescent="0.3">
      <c r="B330" s="5">
        <v>46068</v>
      </c>
      <c r="C330" s="6">
        <v>1105000</v>
      </c>
      <c r="D330" s="6">
        <v>1105000</v>
      </c>
      <c r="E330" s="6">
        <v>1131000</v>
      </c>
      <c r="F330" s="6">
        <v>236946</v>
      </c>
      <c r="G330" s="6">
        <v>263449100500</v>
      </c>
      <c r="H330" s="6">
        <f t="shared" si="47"/>
        <v>1233000</v>
      </c>
      <c r="I330" s="6">
        <f t="shared" si="48"/>
        <v>1140314.8112473965</v>
      </c>
      <c r="J330" s="6">
        <f t="shared" si="40"/>
        <v>1105000</v>
      </c>
      <c r="K330" s="6"/>
      <c r="L330">
        <v>684000</v>
      </c>
      <c r="M330">
        <f t="shared" si="41"/>
        <v>927000</v>
      </c>
      <c r="N330">
        <f t="shared" si="42"/>
        <v>927000</v>
      </c>
      <c r="O330">
        <f t="shared" si="43"/>
        <v>684000</v>
      </c>
      <c r="P330">
        <f t="shared" si="44"/>
        <v>-684000</v>
      </c>
      <c r="Q330" s="30">
        <f>VLOOKUP(B330,Sheet2!$A$15:$G$380,5,FALSE)*S330/10</f>
        <v>0</v>
      </c>
      <c r="R330" s="30">
        <f>VLOOKUP(B330,Sheet2!$A$15:$G$380,7,FALSE)*S330/10</f>
        <v>0</v>
      </c>
      <c r="T330" s="33">
        <f t="shared" si="45"/>
        <v>-1</v>
      </c>
      <c r="U330" s="33">
        <f t="shared" si="46"/>
        <v>-1</v>
      </c>
    </row>
    <row r="331" spans="2:21" x14ac:dyDescent="0.3">
      <c r="B331" s="5">
        <v>46069</v>
      </c>
      <c r="C331" s="6">
        <v>1105000</v>
      </c>
      <c r="D331" s="6">
        <v>1105000</v>
      </c>
      <c r="E331" s="6">
        <v>1131000</v>
      </c>
      <c r="F331" s="6">
        <v>236946</v>
      </c>
      <c r="G331" s="6">
        <v>263449100500</v>
      </c>
      <c r="H331" s="6">
        <f t="shared" si="47"/>
        <v>1227000</v>
      </c>
      <c r="I331" s="6">
        <f t="shared" si="48"/>
        <v>1123985.3687203629</v>
      </c>
      <c r="J331" s="6">
        <f t="shared" si="40"/>
        <v>1105000</v>
      </c>
      <c r="K331" s="6"/>
      <c r="L331">
        <v>684000</v>
      </c>
      <c r="M331">
        <f t="shared" si="41"/>
        <v>927000</v>
      </c>
      <c r="N331">
        <f t="shared" si="42"/>
        <v>927000</v>
      </c>
      <c r="O331">
        <f t="shared" si="43"/>
        <v>684000</v>
      </c>
      <c r="P331">
        <f t="shared" si="44"/>
        <v>-684000</v>
      </c>
      <c r="Q331" s="30">
        <f>VLOOKUP(B331,Sheet2!$A$15:$G$380,5,FALSE)*S331/10</f>
        <v>0</v>
      </c>
      <c r="R331" s="30">
        <f>VLOOKUP(B331,Sheet2!$A$15:$G$380,7,FALSE)*S331/10</f>
        <v>0</v>
      </c>
      <c r="T331" s="33">
        <f t="shared" si="45"/>
        <v>-1</v>
      </c>
      <c r="U331" s="33">
        <f t="shared" si="46"/>
        <v>-1</v>
      </c>
    </row>
    <row r="332" spans="2:21" x14ac:dyDescent="0.3">
      <c r="B332" s="5">
        <v>46070</v>
      </c>
      <c r="C332" s="6">
        <v>1105000</v>
      </c>
      <c r="D332" s="6">
        <v>1105000</v>
      </c>
      <c r="E332" s="6">
        <v>1131000</v>
      </c>
      <c r="F332" s="6">
        <v>236946</v>
      </c>
      <c r="G332" s="6">
        <v>263449100500</v>
      </c>
      <c r="H332" s="6">
        <f t="shared" si="47"/>
        <v>1220000</v>
      </c>
      <c r="I332" s="6">
        <f t="shared" si="48"/>
        <v>1117909.4560409109</v>
      </c>
      <c r="J332" s="6">
        <f t="shared" si="40"/>
        <v>1105000</v>
      </c>
      <c r="K332" s="6"/>
      <c r="L332">
        <v>684000</v>
      </c>
      <c r="M332">
        <f t="shared" si="41"/>
        <v>927000</v>
      </c>
      <c r="N332">
        <f t="shared" si="42"/>
        <v>927000</v>
      </c>
      <c r="O332">
        <f t="shared" si="43"/>
        <v>684000</v>
      </c>
      <c r="P332">
        <f t="shared" si="44"/>
        <v>-684000</v>
      </c>
      <c r="Q332" s="30">
        <f>VLOOKUP(B332,Sheet2!$A$15:$G$380,5,FALSE)*S332/10</f>
        <v>0</v>
      </c>
      <c r="R332" s="30">
        <f>VLOOKUP(B332,Sheet2!$A$15:$G$380,7,FALSE)*S332/10</f>
        <v>0</v>
      </c>
      <c r="T332" s="33">
        <f t="shared" si="45"/>
        <v>-1</v>
      </c>
      <c r="U332" s="33">
        <f t="shared" si="46"/>
        <v>-1</v>
      </c>
    </row>
    <row r="333" spans="2:21" x14ac:dyDescent="0.3">
      <c r="B333" s="5">
        <v>46071</v>
      </c>
      <c r="C333" s="6">
        <v>1105000</v>
      </c>
      <c r="D333" s="6">
        <v>1105000</v>
      </c>
      <c r="E333" s="6">
        <v>1131000</v>
      </c>
      <c r="F333" s="6">
        <v>236946</v>
      </c>
      <c r="G333" s="6">
        <v>263449100500</v>
      </c>
      <c r="H333" s="6">
        <f t="shared" si="47"/>
        <v>1214000</v>
      </c>
      <c r="I333" s="6">
        <f t="shared" si="48"/>
        <v>1113996.0443876304</v>
      </c>
      <c r="J333" s="6">
        <f t="shared" si="40"/>
        <v>1105000</v>
      </c>
      <c r="K333" s="6"/>
      <c r="L333">
        <v>684000</v>
      </c>
      <c r="M333">
        <f t="shared" si="41"/>
        <v>927000</v>
      </c>
      <c r="N333">
        <f t="shared" si="42"/>
        <v>927000</v>
      </c>
      <c r="O333">
        <f t="shared" si="43"/>
        <v>684000</v>
      </c>
      <c r="P333">
        <f t="shared" si="44"/>
        <v>-684000</v>
      </c>
      <c r="Q333" s="30">
        <f>VLOOKUP(B333,Sheet2!$A$15:$G$380,5,FALSE)*S333/10</f>
        <v>0</v>
      </c>
      <c r="R333" s="30">
        <f>VLOOKUP(B333,Sheet2!$A$15:$G$380,7,FALSE)*S333/10</f>
        <v>0</v>
      </c>
      <c r="T333" s="33">
        <f t="shared" si="45"/>
        <v>-1</v>
      </c>
      <c r="U333" s="33">
        <f t="shared" si="46"/>
        <v>-1</v>
      </c>
    </row>
    <row r="334" spans="2:21" x14ac:dyDescent="0.3">
      <c r="B334" s="7">
        <v>46072</v>
      </c>
      <c r="C334" s="8">
        <v>1149000</v>
      </c>
      <c r="D334" s="8">
        <v>1149000</v>
      </c>
      <c r="E334" s="8">
        <v>1105000</v>
      </c>
      <c r="F334" s="8">
        <v>190403</v>
      </c>
      <c r="G334" s="8">
        <v>218031158500</v>
      </c>
      <c r="H334" s="6">
        <f t="shared" si="47"/>
        <v>1209000</v>
      </c>
      <c r="I334" s="6">
        <f t="shared" si="48"/>
        <v>1115780.1581063955</v>
      </c>
      <c r="J334" s="6">
        <f t="shared" si="40"/>
        <v>1149000</v>
      </c>
      <c r="K334" s="6"/>
      <c r="L334">
        <v>684000</v>
      </c>
      <c r="M334">
        <f t="shared" si="41"/>
        <v>964000</v>
      </c>
      <c r="N334">
        <f t="shared" si="42"/>
        <v>964000</v>
      </c>
      <c r="O334">
        <f t="shared" si="43"/>
        <v>684000</v>
      </c>
      <c r="P334">
        <f t="shared" si="44"/>
        <v>-684000</v>
      </c>
      <c r="Q334" s="30">
        <f>VLOOKUP(B334,Sheet2!$A$15:$G$380,5,FALSE)*S334/10</f>
        <v>0</v>
      </c>
      <c r="R334" s="30">
        <f>VLOOKUP(B334,Sheet2!$A$15:$G$380,7,FALSE)*S334/10</f>
        <v>0</v>
      </c>
      <c r="T334" s="33">
        <f t="shared" si="45"/>
        <v>-1</v>
      </c>
      <c r="U334" s="33">
        <f t="shared" si="46"/>
        <v>-1</v>
      </c>
    </row>
    <row r="335" spans="2:21" x14ac:dyDescent="0.3">
      <c r="B335" s="5">
        <v>46073</v>
      </c>
      <c r="C335" s="6">
        <v>1242000</v>
      </c>
      <c r="D335" s="6">
        <v>1242000</v>
      </c>
      <c r="E335" s="6">
        <v>1149000</v>
      </c>
      <c r="F335" s="6">
        <v>443593</v>
      </c>
      <c r="G335" s="6">
        <v>545000267500</v>
      </c>
      <c r="H335" s="6">
        <f t="shared" si="47"/>
        <v>1207000</v>
      </c>
      <c r="I335" s="6">
        <f t="shared" si="48"/>
        <v>1143809.9683514724</v>
      </c>
      <c r="J335" s="6">
        <f t="shared" si="40"/>
        <v>1242000</v>
      </c>
      <c r="K335" s="6"/>
      <c r="L335">
        <v>684000</v>
      </c>
      <c r="M335">
        <f t="shared" si="41"/>
        <v>1005000</v>
      </c>
      <c r="N335">
        <f t="shared" si="42"/>
        <v>1005000</v>
      </c>
      <c r="O335">
        <f t="shared" si="43"/>
        <v>684000</v>
      </c>
      <c r="P335">
        <f t="shared" si="44"/>
        <v>-684000</v>
      </c>
      <c r="Q335" s="30">
        <f>VLOOKUP(B335,Sheet2!$A$15:$G$380,5,FALSE)*S335/10</f>
        <v>0</v>
      </c>
      <c r="R335" s="30">
        <f>VLOOKUP(B335,Sheet2!$A$15:$G$380,7,FALSE)*S335/10</f>
        <v>0</v>
      </c>
      <c r="T335" s="33">
        <f t="shared" si="45"/>
        <v>-1</v>
      </c>
      <c r="U335" s="33">
        <f t="shared" si="46"/>
        <v>-1</v>
      </c>
    </row>
    <row r="336" spans="2:21" x14ac:dyDescent="0.3">
      <c r="B336" s="5">
        <v>46074</v>
      </c>
      <c r="C336" s="6">
        <v>1242000</v>
      </c>
      <c r="D336" s="6">
        <v>1242000</v>
      </c>
      <c r="E336" s="6">
        <v>1149000</v>
      </c>
      <c r="F336" s="6">
        <v>443593</v>
      </c>
      <c r="G336" s="6">
        <v>545000267500</v>
      </c>
      <c r="H336" s="6">
        <f t="shared" si="47"/>
        <v>1206000</v>
      </c>
      <c r="I336" s="6">
        <f t="shared" si="48"/>
        <v>1166120.0655385451</v>
      </c>
      <c r="J336" s="6">
        <f t="shared" si="40"/>
        <v>1242000</v>
      </c>
      <c r="K336" s="6"/>
      <c r="L336">
        <v>684000</v>
      </c>
      <c r="M336">
        <f t="shared" si="41"/>
        <v>1011000</v>
      </c>
      <c r="N336">
        <f t="shared" si="42"/>
        <v>1011000</v>
      </c>
      <c r="O336">
        <f t="shared" si="43"/>
        <v>684000</v>
      </c>
      <c r="P336">
        <f t="shared" si="44"/>
        <v>-684000</v>
      </c>
      <c r="Q336" s="30">
        <f>VLOOKUP(B336,Sheet2!$A$15:$G$380,5,FALSE)*S336/10</f>
        <v>0</v>
      </c>
      <c r="R336" s="30">
        <f>VLOOKUP(B336,Sheet2!$A$15:$G$380,7,FALSE)*S336/10</f>
        <v>0</v>
      </c>
      <c r="T336" s="33">
        <f t="shared" si="45"/>
        <v>-1</v>
      </c>
      <c r="U336" s="33">
        <f t="shared" si="46"/>
        <v>-1</v>
      </c>
    </row>
    <row r="337" spans="2:21" x14ac:dyDescent="0.3">
      <c r="B337" s="5">
        <v>46075</v>
      </c>
      <c r="C337" s="6">
        <v>1242000</v>
      </c>
      <c r="D337" s="6">
        <v>1242000</v>
      </c>
      <c r="E337" s="6">
        <v>1149000</v>
      </c>
      <c r="F337" s="6">
        <v>443593</v>
      </c>
      <c r="G337" s="6">
        <v>545000267500</v>
      </c>
      <c r="H337" s="6">
        <f t="shared" si="47"/>
        <v>1205000</v>
      </c>
      <c r="I337" s="6">
        <f t="shared" si="48"/>
        <v>1184299.093422102</v>
      </c>
      <c r="J337" s="6">
        <f t="shared" si="40"/>
        <v>1242000</v>
      </c>
      <c r="K337" s="6"/>
      <c r="L337">
        <v>684000</v>
      </c>
      <c r="M337">
        <f t="shared" si="41"/>
        <v>1016000</v>
      </c>
      <c r="N337">
        <f t="shared" si="42"/>
        <v>1016000</v>
      </c>
      <c r="O337">
        <f t="shared" si="43"/>
        <v>684000</v>
      </c>
      <c r="P337">
        <f t="shared" si="44"/>
        <v>-684000</v>
      </c>
      <c r="Q337" s="30">
        <f>VLOOKUP(B337,Sheet2!$A$15:$G$380,5,FALSE)*S337/10</f>
        <v>0</v>
      </c>
      <c r="R337" s="30">
        <f>VLOOKUP(B337,Sheet2!$A$15:$G$380,7,FALSE)*S337/10</f>
        <v>0</v>
      </c>
      <c r="T337" s="33">
        <f t="shared" si="45"/>
        <v>-1</v>
      </c>
      <c r="U337" s="33">
        <f t="shared" si="46"/>
        <v>-1</v>
      </c>
    </row>
    <row r="338" spans="2:21" x14ac:dyDescent="0.3">
      <c r="B338" s="5">
        <v>46076</v>
      </c>
      <c r="C338" s="6">
        <v>1236000</v>
      </c>
      <c r="D338" s="6">
        <v>1236000</v>
      </c>
      <c r="E338" s="6">
        <v>1242000</v>
      </c>
      <c r="F338" s="6">
        <v>196612</v>
      </c>
      <c r="G338" s="6">
        <v>242735584500</v>
      </c>
      <c r="H338" s="6">
        <f t="shared" si="47"/>
        <v>1205000</v>
      </c>
      <c r="I338" s="6">
        <f t="shared" si="48"/>
        <v>1196643.0166091311</v>
      </c>
      <c r="J338" s="6">
        <f t="shared" si="40"/>
        <v>1236000</v>
      </c>
      <c r="K338" s="6"/>
      <c r="L338">
        <v>684000</v>
      </c>
      <c r="M338">
        <f t="shared" si="41"/>
        <v>1017000</v>
      </c>
      <c r="N338">
        <f t="shared" si="42"/>
        <v>1017000</v>
      </c>
      <c r="O338">
        <f t="shared" si="43"/>
        <v>684000</v>
      </c>
      <c r="P338">
        <f t="shared" si="44"/>
        <v>-684000</v>
      </c>
      <c r="Q338" s="30">
        <f>VLOOKUP(B338,Sheet2!$A$15:$G$380,5,FALSE)*S338/10</f>
        <v>0</v>
      </c>
      <c r="R338" s="30">
        <f>VLOOKUP(B338,Sheet2!$A$15:$G$380,7,FALSE)*S338/10</f>
        <v>0</v>
      </c>
      <c r="T338" s="33">
        <f t="shared" si="45"/>
        <v>-1</v>
      </c>
      <c r="U338" s="33">
        <f t="shared" si="46"/>
        <v>-1</v>
      </c>
    </row>
    <row r="339" spans="2:21" x14ac:dyDescent="0.3">
      <c r="B339" s="7">
        <v>46077</v>
      </c>
      <c r="C339" s="8">
        <v>1241000</v>
      </c>
      <c r="D339" s="8">
        <v>1241000</v>
      </c>
      <c r="E339" s="8">
        <v>1236000</v>
      </c>
      <c r="F339" s="8">
        <v>172787</v>
      </c>
      <c r="G339" s="8">
        <v>212863699252</v>
      </c>
      <c r="H339" s="6">
        <f t="shared" si="47"/>
        <v>1203000</v>
      </c>
      <c r="I339" s="6">
        <f t="shared" si="48"/>
        <v>1208953.092135611</v>
      </c>
      <c r="J339" s="6">
        <f t="shared" si="40"/>
        <v>1241000</v>
      </c>
      <c r="K339" s="6"/>
      <c r="L339">
        <v>684000</v>
      </c>
      <c r="M339">
        <f t="shared" si="41"/>
        <v>1022000</v>
      </c>
      <c r="N339">
        <f t="shared" si="42"/>
        <v>1022000</v>
      </c>
      <c r="O339">
        <f t="shared" si="43"/>
        <v>684000</v>
      </c>
      <c r="P339">
        <f t="shared" si="44"/>
        <v>-684000</v>
      </c>
      <c r="Q339" s="30">
        <f>VLOOKUP(B339,Sheet2!$A$15:$G$380,5,FALSE)*S339/10</f>
        <v>0</v>
      </c>
      <c r="R339" s="30">
        <f>VLOOKUP(B339,Sheet2!$A$15:$G$380,7,FALSE)*S339/10</f>
        <v>0</v>
      </c>
      <c r="T339" s="33">
        <f t="shared" si="45"/>
        <v>-1</v>
      </c>
      <c r="U339" s="33">
        <f t="shared" si="46"/>
        <v>-1</v>
      </c>
    </row>
    <row r="340" spans="2:21" x14ac:dyDescent="0.3">
      <c r="B340" s="5">
        <v>46078</v>
      </c>
      <c r="C340" s="6">
        <v>1212000</v>
      </c>
      <c r="D340" s="6">
        <v>1212000</v>
      </c>
      <c r="E340" s="6">
        <v>1241000</v>
      </c>
      <c r="F340" s="6">
        <v>168169</v>
      </c>
      <c r="G340" s="6">
        <v>204332629500</v>
      </c>
      <c r="H340" s="6">
        <f t="shared" si="47"/>
        <v>1203000</v>
      </c>
      <c r="I340" s="6">
        <f t="shared" si="48"/>
        <v>1220626.0469955071</v>
      </c>
      <c r="J340" s="6">
        <f t="shared" si="40"/>
        <v>1212000</v>
      </c>
      <c r="K340" s="6"/>
      <c r="L340">
        <v>684000</v>
      </c>
      <c r="M340">
        <f t="shared" si="41"/>
        <v>1017000</v>
      </c>
      <c r="N340">
        <f t="shared" si="42"/>
        <v>1017000</v>
      </c>
      <c r="O340">
        <f t="shared" si="43"/>
        <v>684000</v>
      </c>
      <c r="P340">
        <f t="shared" si="44"/>
        <v>-684000</v>
      </c>
      <c r="Q340" s="30">
        <f>VLOOKUP(B340,Sheet2!$A$15:$G$380,5,FALSE)*S340/10</f>
        <v>0</v>
      </c>
      <c r="R340" s="30">
        <f>VLOOKUP(B340,Sheet2!$A$15:$G$380,7,FALSE)*S340/10</f>
        <v>0</v>
      </c>
      <c r="T340" s="33">
        <f t="shared" si="45"/>
        <v>-1</v>
      </c>
      <c r="U340" s="33">
        <f t="shared" si="46"/>
        <v>-1</v>
      </c>
    </row>
    <row r="341" spans="2:21" x14ac:dyDescent="0.3">
      <c r="B341" s="5">
        <v>46079</v>
      </c>
      <c r="C341" s="6">
        <v>1194000</v>
      </c>
      <c r="D341" s="6">
        <v>1194000</v>
      </c>
      <c r="E341" s="6">
        <v>1212000</v>
      </c>
      <c r="F341" s="6">
        <v>184947</v>
      </c>
      <c r="G341" s="6">
        <v>220088457500</v>
      </c>
      <c r="H341" s="6">
        <f t="shared" si="47"/>
        <v>1202000</v>
      </c>
      <c r="I341" s="6">
        <f t="shared" si="48"/>
        <v>1224871.4374327301</v>
      </c>
      <c r="J341" s="6">
        <f t="shared" si="40"/>
        <v>1194000</v>
      </c>
      <c r="K341" s="6"/>
      <c r="L341">
        <v>684000</v>
      </c>
      <c r="M341">
        <f t="shared" si="41"/>
        <v>1002000</v>
      </c>
      <c r="N341">
        <f t="shared" si="42"/>
        <v>1002000</v>
      </c>
      <c r="O341">
        <f t="shared" si="43"/>
        <v>684000</v>
      </c>
      <c r="P341">
        <f t="shared" si="44"/>
        <v>-684000</v>
      </c>
      <c r="Q341" s="30">
        <f>VLOOKUP(B341,Sheet2!$A$15:$G$380,5,FALSE)*S341/10</f>
        <v>0</v>
      </c>
      <c r="R341" s="30">
        <f>VLOOKUP(B341,Sheet2!$A$15:$G$380,7,FALSE)*S341/10</f>
        <v>0</v>
      </c>
      <c r="T341" s="33">
        <f t="shared" si="45"/>
        <v>-1</v>
      </c>
      <c r="U341" s="33">
        <f t="shared" si="46"/>
        <v>-1</v>
      </c>
    </row>
    <row r="342" spans="2:21" x14ac:dyDescent="0.3">
      <c r="B342" s="5">
        <v>46080</v>
      </c>
      <c r="C342" s="6">
        <v>1195000</v>
      </c>
      <c r="D342" s="6">
        <v>1195000</v>
      </c>
      <c r="E342" s="6">
        <v>1194000</v>
      </c>
      <c r="F342" s="6">
        <v>325910</v>
      </c>
      <c r="G342" s="6">
        <v>396457815500</v>
      </c>
      <c r="H342" s="6">
        <f t="shared" si="47"/>
        <v>1200000</v>
      </c>
      <c r="I342" s="6">
        <f t="shared" si="48"/>
        <v>1222600.3681793502</v>
      </c>
      <c r="J342" s="6">
        <f t="shared" si="40"/>
        <v>1195000</v>
      </c>
      <c r="K342" s="6"/>
      <c r="L342">
        <v>684000</v>
      </c>
      <c r="M342">
        <f t="shared" si="41"/>
        <v>1003000</v>
      </c>
      <c r="N342">
        <f t="shared" si="42"/>
        <v>1003000</v>
      </c>
      <c r="O342">
        <f t="shared" si="43"/>
        <v>684000</v>
      </c>
      <c r="P342">
        <f t="shared" si="44"/>
        <v>-684000</v>
      </c>
      <c r="Q342" s="30">
        <f>VLOOKUP(B342,Sheet2!$A$15:$G$380,5,FALSE)*S342/10</f>
        <v>0</v>
      </c>
      <c r="R342" s="30">
        <f>VLOOKUP(B342,Sheet2!$A$15:$G$380,7,FALSE)*S342/10</f>
        <v>0</v>
      </c>
      <c r="T342" s="33">
        <f t="shared" si="45"/>
        <v>-1</v>
      </c>
      <c r="U342" s="33">
        <f t="shared" si="46"/>
        <v>-1</v>
      </c>
    </row>
    <row r="343" spans="2:21" x14ac:dyDescent="0.3">
      <c r="B343" s="5">
        <v>46081</v>
      </c>
      <c r="C343" s="6">
        <v>1195000</v>
      </c>
      <c r="D343" s="6">
        <v>1195000</v>
      </c>
      <c r="E343" s="6">
        <v>1194000</v>
      </c>
      <c r="F343" s="6">
        <v>325910</v>
      </c>
      <c r="G343" s="6">
        <v>396457815500</v>
      </c>
      <c r="H343" s="6">
        <f t="shared" si="47"/>
        <v>1198000</v>
      </c>
      <c r="I343" s="6">
        <f t="shared" si="48"/>
        <v>1220035.2650115956</v>
      </c>
      <c r="J343" s="6">
        <f t="shared" si="40"/>
        <v>1195000</v>
      </c>
      <c r="K343" s="6"/>
      <c r="L343">
        <v>684000</v>
      </c>
      <c r="M343">
        <f t="shared" si="41"/>
        <v>1003000</v>
      </c>
      <c r="N343">
        <f t="shared" si="42"/>
        <v>1003000</v>
      </c>
      <c r="O343">
        <f t="shared" si="43"/>
        <v>684000</v>
      </c>
      <c r="P343">
        <f t="shared" si="44"/>
        <v>-684000</v>
      </c>
      <c r="Q343" s="30">
        <f>VLOOKUP(B343,Sheet2!$A$15:$G$380,5,FALSE)*S343/10</f>
        <v>0</v>
      </c>
      <c r="R343" s="30">
        <f>VLOOKUP(B343,Sheet2!$A$15:$G$380,7,FALSE)*S343/10</f>
        <v>0</v>
      </c>
      <c r="T343" s="33">
        <f t="shared" si="45"/>
        <v>-1</v>
      </c>
      <c r="U343" s="33">
        <f t="shared" si="46"/>
        <v>-1</v>
      </c>
    </row>
    <row r="344" spans="2:21" x14ac:dyDescent="0.3">
      <c r="B344" s="7">
        <v>46082</v>
      </c>
      <c r="C344" s="8">
        <v>1195000</v>
      </c>
      <c r="D344" s="8">
        <v>1195000</v>
      </c>
      <c r="E344" s="8">
        <v>1194000</v>
      </c>
      <c r="F344" s="8">
        <v>325910</v>
      </c>
      <c r="G344" s="8">
        <v>396457815500</v>
      </c>
      <c r="H344" s="6">
        <f t="shared" si="47"/>
        <v>1196000</v>
      </c>
      <c r="I344" s="6">
        <f t="shared" si="48"/>
        <v>1217115.0729759536</v>
      </c>
      <c r="J344" s="6">
        <f t="shared" si="40"/>
        <v>1195000</v>
      </c>
      <c r="K344" s="6"/>
      <c r="L344">
        <v>684000</v>
      </c>
      <c r="M344">
        <f t="shared" si="41"/>
        <v>1003000</v>
      </c>
      <c r="N344">
        <f t="shared" si="42"/>
        <v>1003000</v>
      </c>
      <c r="O344">
        <f t="shared" si="43"/>
        <v>684000</v>
      </c>
      <c r="P344">
        <f t="shared" si="44"/>
        <v>-684000</v>
      </c>
      <c r="Q344" s="30">
        <f>VLOOKUP(B344,Sheet2!$A$15:$G$380,5,FALSE)*S344/10</f>
        <v>0</v>
      </c>
      <c r="R344" s="30">
        <f>VLOOKUP(B344,Sheet2!$A$15:$G$380,7,FALSE)*S344/10</f>
        <v>0</v>
      </c>
      <c r="T344" s="33">
        <f t="shared" si="45"/>
        <v>-1</v>
      </c>
      <c r="U344" s="33">
        <f t="shared" si="46"/>
        <v>-1</v>
      </c>
    </row>
    <row r="345" spans="2:21" x14ac:dyDescent="0.3">
      <c r="B345" s="5">
        <v>46083</v>
      </c>
      <c r="C345" s="6">
        <v>1195000</v>
      </c>
      <c r="D345" s="6">
        <v>1195000</v>
      </c>
      <c r="E345" s="6">
        <v>1194000</v>
      </c>
      <c r="F345" s="6">
        <v>325910</v>
      </c>
      <c r="G345" s="6">
        <v>396457815500</v>
      </c>
      <c r="H345" s="6">
        <f t="shared" si="47"/>
        <v>1194000</v>
      </c>
      <c r="I345" s="6">
        <f t="shared" si="48"/>
        <v>1215120.9609459848</v>
      </c>
      <c r="J345" s="6">
        <f t="shared" si="40"/>
        <v>1195000</v>
      </c>
      <c r="K345" s="6"/>
      <c r="L345">
        <v>684000</v>
      </c>
      <c r="M345">
        <f t="shared" si="41"/>
        <v>1003000</v>
      </c>
      <c r="N345">
        <f t="shared" si="42"/>
        <v>1003000</v>
      </c>
      <c r="O345">
        <f t="shared" si="43"/>
        <v>684000</v>
      </c>
      <c r="P345">
        <f t="shared" si="44"/>
        <v>-684000</v>
      </c>
      <c r="Q345" s="30">
        <f>VLOOKUP(B345,Sheet2!$A$15:$G$380,5,FALSE)*S345/10</f>
        <v>0</v>
      </c>
      <c r="R345" s="30">
        <f>VLOOKUP(B345,Sheet2!$A$15:$G$380,7,FALSE)*S345/10</f>
        <v>0</v>
      </c>
      <c r="T345" s="33">
        <f t="shared" si="45"/>
        <v>-1</v>
      </c>
      <c r="U345" s="33">
        <f t="shared" si="46"/>
        <v>-1</v>
      </c>
    </row>
    <row r="346" spans="2:21" x14ac:dyDescent="0.3">
      <c r="B346" s="5">
        <v>46084</v>
      </c>
      <c r="C346" s="6">
        <v>1432000</v>
      </c>
      <c r="D346" s="6">
        <v>1432000</v>
      </c>
      <c r="E346" s="6">
        <v>1195000</v>
      </c>
      <c r="F346" s="6">
        <v>1295365</v>
      </c>
      <c r="G346" s="6">
        <v>1808581203000</v>
      </c>
      <c r="H346" s="6">
        <f t="shared" si="47"/>
        <v>1219000</v>
      </c>
      <c r="I346" s="6">
        <f t="shared" si="48"/>
        <v>1293589.7790097357</v>
      </c>
      <c r="J346" s="6">
        <f t="shared" si="40"/>
        <v>1432000</v>
      </c>
      <c r="K346" s="6"/>
      <c r="L346">
        <v>684000</v>
      </c>
      <c r="M346">
        <f t="shared" si="41"/>
        <v>1103000</v>
      </c>
      <c r="N346">
        <f t="shared" si="42"/>
        <v>1103000</v>
      </c>
      <c r="O346">
        <f t="shared" si="43"/>
        <v>684000</v>
      </c>
      <c r="P346">
        <f t="shared" si="44"/>
        <v>-684000</v>
      </c>
      <c r="Q346" s="30">
        <f>VLOOKUP(B346,Sheet2!$A$15:$G$380,5,FALSE)*S346/10</f>
        <v>0</v>
      </c>
      <c r="R346" s="30">
        <f>VLOOKUP(B346,Sheet2!$A$15:$G$380,7,FALSE)*S346/10</f>
        <v>0</v>
      </c>
      <c r="T346" s="33">
        <f t="shared" si="45"/>
        <v>-1</v>
      </c>
      <c r="U346" s="33">
        <f t="shared" si="46"/>
        <v>-1</v>
      </c>
    </row>
    <row r="347" spans="2:21" x14ac:dyDescent="0.3">
      <c r="B347" s="5">
        <v>46085</v>
      </c>
      <c r="C347" s="6">
        <v>1323000</v>
      </c>
      <c r="D347" s="6">
        <v>1323000</v>
      </c>
      <c r="E347" s="6">
        <v>1432000</v>
      </c>
      <c r="F347" s="6">
        <v>1191514</v>
      </c>
      <c r="G347" s="6">
        <v>1617292326500</v>
      </c>
      <c r="H347" s="6">
        <f t="shared" si="47"/>
        <v>1233000</v>
      </c>
      <c r="I347" s="6">
        <f t="shared" si="48"/>
        <v>1316020.1216662398</v>
      </c>
      <c r="J347" s="6">
        <f t="shared" si="40"/>
        <v>1323000</v>
      </c>
      <c r="K347" s="6"/>
      <c r="L347">
        <v>684000</v>
      </c>
      <c r="M347">
        <f t="shared" si="41"/>
        <v>1083000</v>
      </c>
      <c r="N347">
        <f t="shared" si="42"/>
        <v>1083000</v>
      </c>
      <c r="O347">
        <f t="shared" si="43"/>
        <v>684000</v>
      </c>
      <c r="P347">
        <f t="shared" si="44"/>
        <v>-684000</v>
      </c>
      <c r="Q347" s="30">
        <f>VLOOKUP(B347,Sheet2!$A$15:$G$380,5,FALSE)*S347/10</f>
        <v>0</v>
      </c>
      <c r="R347" s="30">
        <f>VLOOKUP(B347,Sheet2!$A$15:$G$380,7,FALSE)*S347/10</f>
        <v>0</v>
      </c>
      <c r="T347" s="33">
        <f t="shared" si="45"/>
        <v>-1</v>
      </c>
      <c r="U347" s="33">
        <f t="shared" si="46"/>
        <v>-1</v>
      </c>
    </row>
    <row r="348" spans="2:21" x14ac:dyDescent="0.3">
      <c r="B348" s="5">
        <v>46086</v>
      </c>
      <c r="C348" s="6">
        <v>1381000</v>
      </c>
      <c r="D348" s="6">
        <v>1381000</v>
      </c>
      <c r="E348" s="6">
        <v>1323000</v>
      </c>
      <c r="F348" s="6">
        <v>785586</v>
      </c>
      <c r="G348" s="6">
        <v>1100321576500</v>
      </c>
      <c r="H348" s="6">
        <f t="shared" si="47"/>
        <v>1244000</v>
      </c>
      <c r="I348" s="6">
        <f t="shared" si="48"/>
        <v>1335639.4505807888</v>
      </c>
      <c r="J348" s="6">
        <f t="shared" si="40"/>
        <v>1381000</v>
      </c>
      <c r="K348" s="6"/>
      <c r="L348">
        <v>684000</v>
      </c>
      <c r="M348">
        <f t="shared" si="41"/>
        <v>1108000</v>
      </c>
      <c r="N348">
        <f t="shared" si="42"/>
        <v>1108000</v>
      </c>
      <c r="O348">
        <f t="shared" si="43"/>
        <v>684000</v>
      </c>
      <c r="P348">
        <f t="shared" si="44"/>
        <v>-684000</v>
      </c>
      <c r="Q348" s="30">
        <f>VLOOKUP(B348,Sheet2!$A$15:$G$380,5,FALSE)*S348/10</f>
        <v>0</v>
      </c>
      <c r="R348" s="30">
        <f>VLOOKUP(B348,Sheet2!$A$15:$G$380,7,FALSE)*S348/10</f>
        <v>0</v>
      </c>
      <c r="T348" s="33">
        <f t="shared" si="45"/>
        <v>-1</v>
      </c>
      <c r="U348" s="33">
        <f t="shared" si="46"/>
        <v>-1</v>
      </c>
    </row>
    <row r="349" spans="2:21" x14ac:dyDescent="0.3">
      <c r="B349" s="7">
        <v>46087</v>
      </c>
      <c r="C349" s="8">
        <v>1481000</v>
      </c>
      <c r="D349" s="8">
        <v>1481000</v>
      </c>
      <c r="E349" s="8">
        <v>1381000</v>
      </c>
      <c r="F349" s="8">
        <v>836707</v>
      </c>
      <c r="G349" s="8">
        <v>1224363234500</v>
      </c>
      <c r="H349" s="6">
        <f t="shared" si="47"/>
        <v>1259000</v>
      </c>
      <c r="I349" s="6">
        <f t="shared" si="48"/>
        <v>1364274.717106797</v>
      </c>
      <c r="J349" s="6">
        <f t="shared" si="40"/>
        <v>1481000</v>
      </c>
      <c r="K349" s="6"/>
      <c r="L349">
        <v>684000</v>
      </c>
      <c r="M349">
        <f t="shared" si="41"/>
        <v>1148000</v>
      </c>
      <c r="N349">
        <f t="shared" si="42"/>
        <v>1148000</v>
      </c>
      <c r="O349">
        <f t="shared" si="43"/>
        <v>688800</v>
      </c>
      <c r="P349">
        <f t="shared" si="44"/>
        <v>-688800</v>
      </c>
      <c r="Q349" s="30">
        <f>VLOOKUP(B349,Sheet2!$A$15:$G$380,5,FALSE)*S349/10</f>
        <v>0</v>
      </c>
      <c r="R349" s="30">
        <f>VLOOKUP(B349,Sheet2!$A$15:$G$380,7,FALSE)*S349/10</f>
        <v>0</v>
      </c>
      <c r="T349" s="33">
        <f t="shared" si="45"/>
        <v>-1</v>
      </c>
      <c r="U349" s="33">
        <f t="shared" si="46"/>
        <v>-1</v>
      </c>
    </row>
    <row r="350" spans="2:21" x14ac:dyDescent="0.3">
      <c r="B350" s="5">
        <v>46088</v>
      </c>
      <c r="C350" s="6">
        <v>1481000</v>
      </c>
      <c r="D350" s="6">
        <v>1481000</v>
      </c>
      <c r="E350" s="6">
        <v>1381000</v>
      </c>
      <c r="F350" s="6">
        <v>836707</v>
      </c>
      <c r="G350" s="6">
        <v>1224363234500</v>
      </c>
      <c r="H350" s="6">
        <f t="shared" si="47"/>
        <v>1274000</v>
      </c>
      <c r="I350" s="6">
        <f t="shared" si="48"/>
        <v>1387683.9762195144</v>
      </c>
      <c r="J350" s="6">
        <f t="shared" si="40"/>
        <v>1481000</v>
      </c>
      <c r="K350" s="6"/>
      <c r="L350">
        <v>684000</v>
      </c>
      <c r="M350">
        <f t="shared" si="41"/>
        <v>1159000</v>
      </c>
      <c r="N350">
        <f t="shared" si="42"/>
        <v>1159000</v>
      </c>
      <c r="O350">
        <f t="shared" si="43"/>
        <v>695400</v>
      </c>
      <c r="P350">
        <f t="shared" si="44"/>
        <v>-695400</v>
      </c>
      <c r="Q350" s="30">
        <f>VLOOKUP(B350,Sheet2!$A$15:$G$380,5,FALSE)*S350/10</f>
        <v>0</v>
      </c>
      <c r="R350" s="30">
        <f>VLOOKUP(B350,Sheet2!$A$15:$G$380,7,FALSE)*S350/10</f>
        <v>0</v>
      </c>
      <c r="T350" s="33">
        <f t="shared" si="45"/>
        <v>-1</v>
      </c>
      <c r="U350" s="33">
        <f t="shared" si="46"/>
        <v>-1</v>
      </c>
    </row>
    <row r="351" spans="2:21" x14ac:dyDescent="0.3">
      <c r="B351" s="5">
        <v>46089</v>
      </c>
      <c r="C351" s="6">
        <v>1481000</v>
      </c>
      <c r="D351" s="6">
        <v>1481000</v>
      </c>
      <c r="E351" s="6">
        <v>1381000</v>
      </c>
      <c r="F351" s="6">
        <v>836707</v>
      </c>
      <c r="G351" s="6">
        <v>1224363234500</v>
      </c>
      <c r="H351" s="6">
        <f t="shared" si="47"/>
        <v>1289000</v>
      </c>
      <c r="I351" s="6">
        <f t="shared" si="48"/>
        <v>1407178.235853801</v>
      </c>
      <c r="J351" s="6">
        <f t="shared" ref="J351:J380" si="49">C351</f>
        <v>1481000</v>
      </c>
      <c r="K351" s="6"/>
      <c r="L351">
        <v>684000</v>
      </c>
      <c r="M351">
        <f t="shared" ref="M351:M380" si="50">CEILING(MIN(AVERAGE(H351,I351,J351),J351)*(1-$W$5)/(1+$W$4*$W$5),1000)</f>
        <v>1168000</v>
      </c>
      <c r="N351">
        <f t="shared" ref="N351:N380" si="51">CEILING(MIN(AVERAGE(H351,I351,J351),J351)*(1-$W$5)/(1+$W$4*$W$5),1000)</f>
        <v>1168000</v>
      </c>
      <c r="O351">
        <f t="shared" ref="O351:O380" si="52">MAX(MIN(L351,M351),N351*0.6)</f>
        <v>700800</v>
      </c>
      <c r="P351">
        <f t="shared" ref="P351:P380" si="53">Q351-O351</f>
        <v>-700800</v>
      </c>
      <c r="Q351" s="30">
        <f>VLOOKUP(B351,Sheet2!$A$15:$G$380,5,FALSE)*S351/10</f>
        <v>0</v>
      </c>
      <c r="R351" s="30">
        <f>VLOOKUP(B351,Sheet2!$A$15:$G$380,7,FALSE)*S351/10</f>
        <v>0</v>
      </c>
      <c r="T351" s="33">
        <f t="shared" ref="T351:T380" si="54">(Q351-C351)/C351</f>
        <v>-1</v>
      </c>
      <c r="U351" s="33">
        <f t="shared" ref="U351:U380" si="55">(R351-C351)/C351</f>
        <v>-1</v>
      </c>
    </row>
    <row r="352" spans="2:21" x14ac:dyDescent="0.3">
      <c r="B352" s="5">
        <v>46090</v>
      </c>
      <c r="C352" s="6">
        <v>1434000</v>
      </c>
      <c r="D352" s="6">
        <v>1434000</v>
      </c>
      <c r="E352" s="6">
        <v>1481000</v>
      </c>
      <c r="F352" s="6">
        <v>564231</v>
      </c>
      <c r="G352" s="6">
        <v>809437107500</v>
      </c>
      <c r="H352" s="6">
        <f t="shared" si="47"/>
        <v>1299000</v>
      </c>
      <c r="I352" s="6">
        <f t="shared" si="48"/>
        <v>1419407.8570407813</v>
      </c>
      <c r="J352" s="6">
        <f t="shared" si="49"/>
        <v>1434000</v>
      </c>
      <c r="K352" s="6"/>
      <c r="L352">
        <v>684000</v>
      </c>
      <c r="M352">
        <f t="shared" si="50"/>
        <v>1161000</v>
      </c>
      <c r="N352">
        <f t="shared" si="51"/>
        <v>1161000</v>
      </c>
      <c r="O352">
        <f t="shared" si="52"/>
        <v>696600</v>
      </c>
      <c r="P352">
        <f t="shared" si="53"/>
        <v>-696600</v>
      </c>
      <c r="Q352" s="30">
        <f>VLOOKUP(B352,Sheet2!$A$15:$G$380,5,FALSE)*S352/10</f>
        <v>0</v>
      </c>
      <c r="R352" s="30">
        <f>VLOOKUP(B352,Sheet2!$A$15:$G$380,7,FALSE)*S352/10</f>
        <v>0</v>
      </c>
      <c r="T352" s="33">
        <f t="shared" si="54"/>
        <v>-1</v>
      </c>
      <c r="U352" s="33">
        <f t="shared" si="55"/>
        <v>-1</v>
      </c>
    </row>
    <row r="353" spans="2:21" x14ac:dyDescent="0.3">
      <c r="B353" s="5">
        <v>46091</v>
      </c>
      <c r="C353" s="6">
        <v>1455000</v>
      </c>
      <c r="D353" s="6">
        <v>1455000</v>
      </c>
      <c r="E353" s="6">
        <v>1434000</v>
      </c>
      <c r="F353" s="6">
        <v>452836</v>
      </c>
      <c r="G353" s="6">
        <v>648900797500</v>
      </c>
      <c r="H353" s="6">
        <f t="shared" si="47"/>
        <v>1307000</v>
      </c>
      <c r="I353" s="6">
        <f t="shared" si="48"/>
        <v>1425986.7055466576</v>
      </c>
      <c r="J353" s="6">
        <f t="shared" si="49"/>
        <v>1455000</v>
      </c>
      <c r="K353" s="6"/>
      <c r="L353">
        <v>684000</v>
      </c>
      <c r="M353">
        <f t="shared" si="50"/>
        <v>1171000</v>
      </c>
      <c r="N353">
        <f t="shared" si="51"/>
        <v>1171000</v>
      </c>
      <c r="O353">
        <f t="shared" si="52"/>
        <v>702600</v>
      </c>
      <c r="P353">
        <f t="shared" si="53"/>
        <v>-702600</v>
      </c>
      <c r="Q353" s="30">
        <f>VLOOKUP(B353,Sheet2!$A$15:$G$380,5,FALSE)*S353/10</f>
        <v>0</v>
      </c>
      <c r="R353" s="30">
        <f>VLOOKUP(B353,Sheet2!$A$15:$G$380,7,FALSE)*S353/10</f>
        <v>0</v>
      </c>
      <c r="T353" s="33">
        <f t="shared" si="54"/>
        <v>-1</v>
      </c>
      <c r="U353" s="33">
        <f t="shared" si="55"/>
        <v>-1</v>
      </c>
    </row>
    <row r="354" spans="2:21" x14ac:dyDescent="0.3">
      <c r="B354" s="7">
        <v>46092</v>
      </c>
      <c r="C354" s="8">
        <v>1410000</v>
      </c>
      <c r="D354" s="8">
        <v>1410000</v>
      </c>
      <c r="E354" s="8">
        <v>1455000</v>
      </c>
      <c r="F354" s="8">
        <v>285240</v>
      </c>
      <c r="G354" s="8">
        <v>414745842500</v>
      </c>
      <c r="H354" s="6">
        <f t="shared" si="47"/>
        <v>1312000</v>
      </c>
      <c r="I354" s="6">
        <f t="shared" si="48"/>
        <v>1445514.3084601308</v>
      </c>
      <c r="J354" s="6">
        <f t="shared" si="49"/>
        <v>1410000</v>
      </c>
      <c r="K354" s="6"/>
      <c r="L354">
        <v>684000</v>
      </c>
      <c r="M354">
        <f t="shared" si="50"/>
        <v>1166000</v>
      </c>
      <c r="N354">
        <f t="shared" si="51"/>
        <v>1166000</v>
      </c>
      <c r="O354">
        <f t="shared" si="52"/>
        <v>699600</v>
      </c>
      <c r="P354">
        <f t="shared" si="53"/>
        <v>-699600</v>
      </c>
      <c r="Q354" s="30">
        <f>VLOOKUP(B354,Sheet2!$A$15:$G$380,5,FALSE)*S354/10</f>
        <v>0</v>
      </c>
      <c r="R354" s="30">
        <f>VLOOKUP(B354,Sheet2!$A$15:$G$380,7,FALSE)*S354/10</f>
        <v>0</v>
      </c>
      <c r="T354" s="33">
        <f t="shared" si="54"/>
        <v>-1</v>
      </c>
      <c r="U354" s="33">
        <f t="shared" si="55"/>
        <v>-1</v>
      </c>
    </row>
    <row r="355" spans="2:21" x14ac:dyDescent="0.3">
      <c r="B355" s="5">
        <v>46093</v>
      </c>
      <c r="C355" s="6">
        <v>1465000</v>
      </c>
      <c r="D355" s="6">
        <v>1465000</v>
      </c>
      <c r="E355" s="6">
        <v>1410000</v>
      </c>
      <c r="F355" s="6">
        <v>261688</v>
      </c>
      <c r="G355" s="6">
        <v>381058942500</v>
      </c>
      <c r="H355" s="6">
        <f t="shared" si="47"/>
        <v>1321000</v>
      </c>
      <c r="I355" s="6">
        <f t="shared" si="48"/>
        <v>1454851.1612089593</v>
      </c>
      <c r="J355" s="6">
        <f t="shared" si="49"/>
        <v>1465000</v>
      </c>
      <c r="K355" s="6"/>
      <c r="L355">
        <v>684000</v>
      </c>
      <c r="M355">
        <f t="shared" si="50"/>
        <v>1186000</v>
      </c>
      <c r="N355">
        <f t="shared" si="51"/>
        <v>1186000</v>
      </c>
      <c r="O355">
        <f t="shared" si="52"/>
        <v>711600</v>
      </c>
      <c r="P355">
        <f t="shared" si="53"/>
        <v>-711600</v>
      </c>
      <c r="Q355" s="30">
        <f>VLOOKUP(B355,Sheet2!$A$15:$G$380,5,FALSE)*S355/10</f>
        <v>0</v>
      </c>
      <c r="R355" s="30">
        <f>VLOOKUP(B355,Sheet2!$A$15:$G$380,7,FALSE)*S355/10</f>
        <v>0</v>
      </c>
      <c r="T355" s="33">
        <f t="shared" si="54"/>
        <v>-1</v>
      </c>
      <c r="U355" s="33">
        <f t="shared" si="55"/>
        <v>-1</v>
      </c>
    </row>
    <row r="356" spans="2:21" x14ac:dyDescent="0.3">
      <c r="B356" s="5">
        <v>46094</v>
      </c>
      <c r="C356" s="6">
        <v>1488000</v>
      </c>
      <c r="D356" s="6">
        <v>1488000</v>
      </c>
      <c r="E356" s="6">
        <v>1465000</v>
      </c>
      <c r="F356" s="6">
        <v>324291</v>
      </c>
      <c r="G356" s="6">
        <v>476824902860</v>
      </c>
      <c r="H356" s="6">
        <f t="shared" si="47"/>
        <v>1329000</v>
      </c>
      <c r="I356" s="6">
        <f t="shared" si="48"/>
        <v>1454275.7845579358</v>
      </c>
      <c r="J356" s="6">
        <f t="shared" si="49"/>
        <v>1488000</v>
      </c>
      <c r="K356" s="6"/>
      <c r="L356">
        <v>684000</v>
      </c>
      <c r="M356">
        <f t="shared" si="50"/>
        <v>1195000</v>
      </c>
      <c r="N356">
        <f t="shared" si="51"/>
        <v>1195000</v>
      </c>
      <c r="O356">
        <f t="shared" si="52"/>
        <v>717000</v>
      </c>
      <c r="P356">
        <f t="shared" si="53"/>
        <v>-717000</v>
      </c>
      <c r="Q356" s="30">
        <f>VLOOKUP(B356,Sheet2!$A$15:$G$380,5,FALSE)*S356/10</f>
        <v>0</v>
      </c>
      <c r="R356" s="30">
        <f>VLOOKUP(B356,Sheet2!$A$15:$G$380,7,FALSE)*S356/10</f>
        <v>0</v>
      </c>
      <c r="T356" s="33">
        <f t="shared" si="54"/>
        <v>-1</v>
      </c>
      <c r="U356" s="33">
        <f t="shared" si="55"/>
        <v>-1</v>
      </c>
    </row>
    <row r="357" spans="2:21" x14ac:dyDescent="0.3">
      <c r="B357" s="5">
        <v>46095</v>
      </c>
      <c r="C357" s="6">
        <v>1488000</v>
      </c>
      <c r="D357" s="6">
        <v>1488000</v>
      </c>
      <c r="E357" s="6">
        <v>1465000</v>
      </c>
      <c r="F357" s="6">
        <v>324291</v>
      </c>
      <c r="G357" s="6">
        <v>476824902860</v>
      </c>
      <c r="H357" s="6">
        <f t="shared" si="47"/>
        <v>1335000</v>
      </c>
      <c r="I357" s="6">
        <f t="shared" si="48"/>
        <v>1453507.0299191547</v>
      </c>
      <c r="J357" s="6">
        <f t="shared" si="49"/>
        <v>1488000</v>
      </c>
      <c r="K357" s="6"/>
      <c r="L357">
        <v>684000</v>
      </c>
      <c r="M357">
        <f t="shared" si="50"/>
        <v>1196000</v>
      </c>
      <c r="N357">
        <f t="shared" si="51"/>
        <v>1196000</v>
      </c>
      <c r="O357">
        <f t="shared" si="52"/>
        <v>717600</v>
      </c>
      <c r="P357">
        <f t="shared" si="53"/>
        <v>-717600</v>
      </c>
      <c r="Q357" s="30">
        <f>VLOOKUP(B357,Sheet2!$A$15:$G$380,5,FALSE)*S357/10</f>
        <v>0</v>
      </c>
      <c r="R357" s="30">
        <f>VLOOKUP(B357,Sheet2!$A$15:$G$380,7,FALSE)*S357/10</f>
        <v>0</v>
      </c>
      <c r="T357" s="33">
        <f t="shared" si="54"/>
        <v>-1</v>
      </c>
      <c r="U357" s="33">
        <f t="shared" si="55"/>
        <v>-1</v>
      </c>
    </row>
    <row r="358" spans="2:21" x14ac:dyDescent="0.3">
      <c r="B358" s="5">
        <v>46096</v>
      </c>
      <c r="C358" s="6">
        <v>1488000</v>
      </c>
      <c r="D358" s="6">
        <v>1488000</v>
      </c>
      <c r="E358" s="6">
        <v>1465000</v>
      </c>
      <c r="F358" s="6">
        <v>324291</v>
      </c>
      <c r="G358" s="6">
        <v>476824902860</v>
      </c>
      <c r="H358" s="6">
        <f t="shared" si="47"/>
        <v>1343000</v>
      </c>
      <c r="I358" s="6">
        <f t="shared" si="48"/>
        <v>1452427.7173979883</v>
      </c>
      <c r="J358" s="6">
        <f t="shared" si="49"/>
        <v>1488000</v>
      </c>
      <c r="K358" s="6"/>
      <c r="L358">
        <v>684000</v>
      </c>
      <c r="M358">
        <f t="shared" si="50"/>
        <v>1198000</v>
      </c>
      <c r="N358">
        <f t="shared" si="51"/>
        <v>1198000</v>
      </c>
      <c r="O358">
        <f t="shared" si="52"/>
        <v>718800</v>
      </c>
      <c r="P358">
        <f t="shared" si="53"/>
        <v>-718800</v>
      </c>
      <c r="Q358" s="30">
        <f>VLOOKUP(B358,Sheet2!$A$15:$G$380,5,FALSE)*S358/10</f>
        <v>0</v>
      </c>
      <c r="R358" s="30">
        <f>VLOOKUP(B358,Sheet2!$A$15:$G$380,7,FALSE)*S358/10</f>
        <v>0</v>
      </c>
      <c r="T358" s="33">
        <f t="shared" si="54"/>
        <v>-1</v>
      </c>
      <c r="U358" s="33">
        <f t="shared" si="55"/>
        <v>-1</v>
      </c>
    </row>
    <row r="359" spans="2:21" x14ac:dyDescent="0.3">
      <c r="B359" s="7">
        <v>46097</v>
      </c>
      <c r="C359" s="8">
        <v>1476000</v>
      </c>
      <c r="D359" s="8">
        <v>1476000</v>
      </c>
      <c r="E359" s="8">
        <v>1488000</v>
      </c>
      <c r="F359" s="8">
        <v>180940</v>
      </c>
      <c r="G359" s="8">
        <v>268353549500</v>
      </c>
      <c r="H359" s="6">
        <f t="shared" si="47"/>
        <v>1349000</v>
      </c>
      <c r="I359" s="6">
        <f t="shared" si="48"/>
        <v>1459680.2624563691</v>
      </c>
      <c r="J359" s="6">
        <f t="shared" si="49"/>
        <v>1476000</v>
      </c>
      <c r="K359" s="6"/>
      <c r="L359">
        <v>684000</v>
      </c>
      <c r="M359">
        <f t="shared" si="50"/>
        <v>1198000</v>
      </c>
      <c r="N359">
        <f t="shared" si="51"/>
        <v>1198000</v>
      </c>
      <c r="O359">
        <f t="shared" si="52"/>
        <v>718800</v>
      </c>
      <c r="P359">
        <f t="shared" si="53"/>
        <v>-718800</v>
      </c>
      <c r="Q359" s="30">
        <f>VLOOKUP(B359,Sheet2!$A$15:$G$380,5,FALSE)*S359/10</f>
        <v>0</v>
      </c>
      <c r="R359" s="30">
        <f>VLOOKUP(B359,Sheet2!$A$15:$G$380,7,FALSE)*S359/10</f>
        <v>0</v>
      </c>
      <c r="T359" s="33">
        <f t="shared" si="54"/>
        <v>-1</v>
      </c>
      <c r="U359" s="33">
        <f t="shared" si="55"/>
        <v>-1</v>
      </c>
    </row>
    <row r="360" spans="2:21" x14ac:dyDescent="0.3">
      <c r="B360" s="5">
        <v>46098</v>
      </c>
      <c r="C360" s="6">
        <v>1396000</v>
      </c>
      <c r="D360" s="6">
        <v>1396000</v>
      </c>
      <c r="E360" s="6">
        <v>1476000</v>
      </c>
      <c r="F360" s="6">
        <v>210274</v>
      </c>
      <c r="G360" s="6">
        <v>296066474000</v>
      </c>
      <c r="H360" s="6">
        <f t="shared" si="47"/>
        <v>1354000</v>
      </c>
      <c r="I360" s="6">
        <f t="shared" si="48"/>
        <v>1460323.1879812561</v>
      </c>
      <c r="J360" s="6">
        <f t="shared" si="49"/>
        <v>1396000</v>
      </c>
      <c r="K360" s="6"/>
      <c r="L360">
        <v>684000</v>
      </c>
      <c r="M360">
        <f t="shared" si="50"/>
        <v>1171000</v>
      </c>
      <c r="N360">
        <f t="shared" si="51"/>
        <v>1171000</v>
      </c>
      <c r="O360">
        <f t="shared" si="52"/>
        <v>702600</v>
      </c>
      <c r="P360">
        <f t="shared" si="53"/>
        <v>-702600</v>
      </c>
      <c r="Q360" s="30">
        <f>VLOOKUP(B360,Sheet2!$A$15:$G$380,5,FALSE)*S360/10</f>
        <v>0</v>
      </c>
      <c r="R360" s="30">
        <f>VLOOKUP(B360,Sheet2!$A$15:$G$380,7,FALSE)*S360/10</f>
        <v>0</v>
      </c>
      <c r="T360" s="33">
        <f t="shared" si="54"/>
        <v>-1</v>
      </c>
      <c r="U360" s="33">
        <f t="shared" si="55"/>
        <v>-1</v>
      </c>
    </row>
    <row r="361" spans="2:21" x14ac:dyDescent="0.3">
      <c r="B361" s="5">
        <v>46099</v>
      </c>
      <c r="C361" s="6">
        <v>1390000</v>
      </c>
      <c r="D361" s="6">
        <v>1390000</v>
      </c>
      <c r="E361" s="6">
        <v>1396000</v>
      </c>
      <c r="F361" s="6">
        <v>161859</v>
      </c>
      <c r="G361" s="6">
        <v>223728459804</v>
      </c>
      <c r="H361" s="6">
        <f t="shared" si="47"/>
        <v>1359000</v>
      </c>
      <c r="I361" s="6">
        <f t="shared" si="48"/>
        <v>1454258.6090799347</v>
      </c>
      <c r="J361" s="6">
        <f t="shared" si="49"/>
        <v>1390000</v>
      </c>
      <c r="K361" s="6"/>
      <c r="L361">
        <v>684000</v>
      </c>
      <c r="M361">
        <f t="shared" si="50"/>
        <v>1166000</v>
      </c>
      <c r="N361">
        <f t="shared" si="51"/>
        <v>1166000</v>
      </c>
      <c r="O361">
        <f t="shared" si="52"/>
        <v>699600</v>
      </c>
      <c r="P361">
        <f t="shared" si="53"/>
        <v>-699600</v>
      </c>
      <c r="Q361" s="30">
        <f>VLOOKUP(B361,Sheet2!$A$15:$G$380,5,FALSE)*S361/10</f>
        <v>0</v>
      </c>
      <c r="R361" s="30">
        <f>VLOOKUP(B361,Sheet2!$A$15:$G$380,7,FALSE)*S361/10</f>
        <v>0</v>
      </c>
      <c r="T361" s="33">
        <f t="shared" si="54"/>
        <v>-1</v>
      </c>
      <c r="U361" s="33">
        <f t="shared" si="55"/>
        <v>-1</v>
      </c>
    </row>
    <row r="362" spans="2:21" x14ac:dyDescent="0.3">
      <c r="B362" s="5">
        <v>46100</v>
      </c>
      <c r="C362" s="6">
        <v>1375000</v>
      </c>
      <c r="D362" s="6">
        <v>1375000</v>
      </c>
      <c r="E362" s="6">
        <v>1390000</v>
      </c>
      <c r="F362" s="6">
        <v>111115</v>
      </c>
      <c r="G362" s="6">
        <v>152805855500</v>
      </c>
      <c r="H362" s="6">
        <f t="shared" si="47"/>
        <v>1364000</v>
      </c>
      <c r="I362" s="6">
        <f t="shared" si="48"/>
        <v>1448589.2995948226</v>
      </c>
      <c r="J362" s="6">
        <f t="shared" si="49"/>
        <v>1375000</v>
      </c>
      <c r="K362" s="6"/>
      <c r="L362">
        <v>684000</v>
      </c>
      <c r="M362">
        <f t="shared" si="50"/>
        <v>1154000</v>
      </c>
      <c r="N362">
        <f t="shared" si="51"/>
        <v>1154000</v>
      </c>
      <c r="O362">
        <f t="shared" si="52"/>
        <v>692400</v>
      </c>
      <c r="P362">
        <f t="shared" si="53"/>
        <v>-692400</v>
      </c>
      <c r="Q362" s="30">
        <f>VLOOKUP(B362,Sheet2!$A$15:$G$380,5,FALSE)*S362/10</f>
        <v>0</v>
      </c>
      <c r="R362" s="30">
        <f>VLOOKUP(B362,Sheet2!$A$15:$G$380,7,FALSE)*S362/10</f>
        <v>0</v>
      </c>
      <c r="T362" s="33">
        <f t="shared" si="54"/>
        <v>-1</v>
      </c>
      <c r="U362" s="33">
        <f t="shared" si="55"/>
        <v>-1</v>
      </c>
    </row>
    <row r="363" spans="2:21" x14ac:dyDescent="0.3">
      <c r="B363" s="5">
        <v>46101</v>
      </c>
      <c r="C363" s="6">
        <v>1320000</v>
      </c>
      <c r="D363" s="6">
        <v>1320000</v>
      </c>
      <c r="E363" s="6">
        <v>1375000</v>
      </c>
      <c r="F363" s="6">
        <v>270214</v>
      </c>
      <c r="G363" s="6">
        <v>357160356500</v>
      </c>
      <c r="H363" s="6">
        <f t="shared" si="47"/>
        <v>1368000</v>
      </c>
      <c r="I363" s="6">
        <f t="shared" si="48"/>
        <v>1422480.8974847503</v>
      </c>
      <c r="J363" s="6">
        <f t="shared" si="49"/>
        <v>1320000</v>
      </c>
      <c r="K363" s="6"/>
      <c r="L363">
        <v>684000</v>
      </c>
      <c r="M363">
        <f t="shared" si="50"/>
        <v>1108000</v>
      </c>
      <c r="N363">
        <f t="shared" si="51"/>
        <v>1108000</v>
      </c>
      <c r="O363">
        <f t="shared" si="52"/>
        <v>684000</v>
      </c>
      <c r="P363">
        <f t="shared" si="53"/>
        <v>-684000</v>
      </c>
      <c r="Q363" s="30">
        <f>VLOOKUP(B363,Sheet2!$A$15:$G$380,5,FALSE)*S363/10</f>
        <v>0</v>
      </c>
      <c r="R363" s="30">
        <f>VLOOKUP(B363,Sheet2!$A$15:$G$380,7,FALSE)*S363/10</f>
        <v>0</v>
      </c>
      <c r="T363" s="33">
        <f t="shared" si="54"/>
        <v>-1</v>
      </c>
      <c r="U363" s="33">
        <f t="shared" si="55"/>
        <v>-1</v>
      </c>
    </row>
    <row r="364" spans="2:21" x14ac:dyDescent="0.3">
      <c r="B364" s="7">
        <v>46102</v>
      </c>
      <c r="C364" s="8">
        <v>1320000</v>
      </c>
      <c r="D364" s="8">
        <v>1320000</v>
      </c>
      <c r="E364" s="8">
        <v>1375000</v>
      </c>
      <c r="F364" s="8">
        <v>270214</v>
      </c>
      <c r="G364" s="8">
        <v>357160356500</v>
      </c>
      <c r="H364" s="6">
        <f t="shared" si="47"/>
        <v>1370000</v>
      </c>
      <c r="I364" s="6">
        <f t="shared" si="48"/>
        <v>1394525.6020568942</v>
      </c>
      <c r="J364" s="6">
        <f t="shared" si="49"/>
        <v>1320000</v>
      </c>
      <c r="K364" s="6"/>
      <c r="L364">
        <v>684000</v>
      </c>
      <c r="M364">
        <f t="shared" si="50"/>
        <v>1108000</v>
      </c>
      <c r="N364">
        <f t="shared" si="51"/>
        <v>1108000</v>
      </c>
      <c r="O364">
        <f t="shared" si="52"/>
        <v>684000</v>
      </c>
      <c r="P364">
        <f t="shared" si="53"/>
        <v>-684000</v>
      </c>
      <c r="Q364" s="30">
        <f>VLOOKUP(B364,Sheet2!$A$15:$G$380,5,FALSE)*S364/10</f>
        <v>0</v>
      </c>
      <c r="R364" s="30">
        <f>VLOOKUP(B364,Sheet2!$A$15:$G$380,7,FALSE)*S364/10</f>
        <v>0</v>
      </c>
      <c r="T364" s="33">
        <f t="shared" si="54"/>
        <v>-1</v>
      </c>
      <c r="U364" s="33">
        <f t="shared" si="55"/>
        <v>-1</v>
      </c>
    </row>
    <row r="365" spans="2:21" x14ac:dyDescent="0.3">
      <c r="B365" s="5">
        <v>46103</v>
      </c>
      <c r="C365" s="6">
        <v>1320000</v>
      </c>
      <c r="D365" s="6">
        <v>1320000</v>
      </c>
      <c r="E365" s="6">
        <v>1375000</v>
      </c>
      <c r="F365" s="6">
        <v>270214</v>
      </c>
      <c r="G365" s="6">
        <v>357160356500</v>
      </c>
      <c r="H365" s="6">
        <f t="shared" si="47"/>
        <v>1374000</v>
      </c>
      <c r="I365" s="6">
        <f t="shared" si="48"/>
        <v>1364520.2554219807</v>
      </c>
      <c r="J365" s="6">
        <f t="shared" si="49"/>
        <v>1320000</v>
      </c>
      <c r="K365" s="6"/>
      <c r="L365">
        <v>684000</v>
      </c>
      <c r="M365">
        <f t="shared" si="50"/>
        <v>1108000</v>
      </c>
      <c r="N365">
        <f t="shared" si="51"/>
        <v>1108000</v>
      </c>
      <c r="O365">
        <f t="shared" si="52"/>
        <v>684000</v>
      </c>
      <c r="P365">
        <f t="shared" si="53"/>
        <v>-684000</v>
      </c>
      <c r="Q365" s="30">
        <f>VLOOKUP(B365,Sheet2!$A$15:$G$380,5,FALSE)*S365/10</f>
        <v>0</v>
      </c>
      <c r="R365" s="30">
        <f>VLOOKUP(B365,Sheet2!$A$15:$G$380,7,FALSE)*S365/10</f>
        <v>0</v>
      </c>
      <c r="T365" s="33">
        <f t="shared" si="54"/>
        <v>-1</v>
      </c>
      <c r="U365" s="33">
        <f t="shared" si="55"/>
        <v>-1</v>
      </c>
    </row>
    <row r="366" spans="2:21" x14ac:dyDescent="0.3">
      <c r="B366" s="5">
        <v>46104</v>
      </c>
      <c r="C366" s="6">
        <v>1278000</v>
      </c>
      <c r="D366" s="6">
        <v>1278000</v>
      </c>
      <c r="E366" s="6">
        <v>1320000</v>
      </c>
      <c r="F366" s="6">
        <v>232870</v>
      </c>
      <c r="G366" s="6">
        <v>294651687000</v>
      </c>
      <c r="H366" s="6">
        <f t="shared" si="47"/>
        <v>1377000</v>
      </c>
      <c r="I366" s="6">
        <f t="shared" si="48"/>
        <v>1335333.3502344834</v>
      </c>
      <c r="J366" s="6">
        <f t="shared" si="49"/>
        <v>1278000</v>
      </c>
      <c r="K366" s="6"/>
      <c r="L366">
        <v>684000</v>
      </c>
      <c r="M366">
        <f t="shared" si="50"/>
        <v>1072000</v>
      </c>
      <c r="N366">
        <f t="shared" si="51"/>
        <v>1072000</v>
      </c>
      <c r="O366">
        <f t="shared" si="52"/>
        <v>684000</v>
      </c>
      <c r="P366">
        <f t="shared" si="53"/>
        <v>-684000</v>
      </c>
      <c r="Q366" s="30">
        <f>VLOOKUP(B366,Sheet2!$A$15:$G$380,5,FALSE)*S366/10</f>
        <v>0</v>
      </c>
      <c r="R366" s="30">
        <f>VLOOKUP(B366,Sheet2!$A$15:$G$380,7,FALSE)*S366/10</f>
        <v>0</v>
      </c>
      <c r="T366" s="33">
        <f t="shared" si="54"/>
        <v>-1</v>
      </c>
      <c r="U366" s="33">
        <f t="shared" si="55"/>
        <v>-1</v>
      </c>
    </row>
    <row r="367" spans="2:21" x14ac:dyDescent="0.3">
      <c r="B367" s="5">
        <v>46105</v>
      </c>
      <c r="C367" s="6">
        <v>1335000</v>
      </c>
      <c r="D367" s="6">
        <v>1335000</v>
      </c>
      <c r="E367" s="6">
        <v>1278000</v>
      </c>
      <c r="F367" s="6">
        <v>154321</v>
      </c>
      <c r="G367" s="6">
        <v>204023090000</v>
      </c>
      <c r="H367" s="6">
        <f t="shared" si="47"/>
        <v>1382000</v>
      </c>
      <c r="I367" s="6">
        <f t="shared" si="48"/>
        <v>1323552.4183689635</v>
      </c>
      <c r="J367" s="6">
        <f t="shared" si="49"/>
        <v>1335000</v>
      </c>
      <c r="K367" s="6"/>
      <c r="L367">
        <v>684000</v>
      </c>
      <c r="M367">
        <f t="shared" si="50"/>
        <v>1120000</v>
      </c>
      <c r="N367">
        <f t="shared" si="51"/>
        <v>1120000</v>
      </c>
      <c r="O367">
        <f t="shared" si="52"/>
        <v>684000</v>
      </c>
      <c r="P367">
        <f t="shared" si="53"/>
        <v>-684000</v>
      </c>
      <c r="Q367" s="30">
        <f>VLOOKUP(B367,Sheet2!$A$15:$G$380,5,FALSE)*S367/10</f>
        <v>0</v>
      </c>
      <c r="R367" s="30">
        <f>VLOOKUP(B367,Sheet2!$A$15:$G$380,7,FALSE)*S367/10</f>
        <v>0</v>
      </c>
      <c r="T367" s="33">
        <f t="shared" si="54"/>
        <v>-1</v>
      </c>
      <c r="U367" s="33">
        <f t="shared" si="55"/>
        <v>-1</v>
      </c>
    </row>
    <row r="368" spans="2:21" x14ac:dyDescent="0.3">
      <c r="B368" s="5">
        <v>46106</v>
      </c>
      <c r="C368" s="6">
        <v>1400000</v>
      </c>
      <c r="D368" s="6">
        <v>1400000</v>
      </c>
      <c r="E368" s="6">
        <v>1335000</v>
      </c>
      <c r="F368" s="6">
        <v>212913</v>
      </c>
      <c r="G368" s="6">
        <v>293552798500</v>
      </c>
      <c r="H368" s="6">
        <f t="shared" si="47"/>
        <v>1384000</v>
      </c>
      <c r="I368" s="6">
        <f t="shared" si="48"/>
        <v>1325031.9841956657</v>
      </c>
      <c r="J368" s="6">
        <f t="shared" si="49"/>
        <v>1400000</v>
      </c>
      <c r="K368" s="6"/>
      <c r="L368">
        <v>684000</v>
      </c>
      <c r="M368">
        <f t="shared" si="50"/>
        <v>1149000</v>
      </c>
      <c r="N368">
        <f t="shared" si="51"/>
        <v>1149000</v>
      </c>
      <c r="O368">
        <f t="shared" si="52"/>
        <v>689400</v>
      </c>
      <c r="P368">
        <f t="shared" si="53"/>
        <v>-689400</v>
      </c>
      <c r="Q368" s="30">
        <f>VLOOKUP(B368,Sheet2!$A$15:$G$380,5,FALSE)*S368/10</f>
        <v>0</v>
      </c>
      <c r="R368" s="30">
        <f>VLOOKUP(B368,Sheet2!$A$15:$G$380,7,FALSE)*S368/10</f>
        <v>0</v>
      </c>
      <c r="T368" s="33">
        <f t="shared" si="54"/>
        <v>-1</v>
      </c>
      <c r="U368" s="33">
        <f t="shared" si="55"/>
        <v>-1</v>
      </c>
    </row>
    <row r="369" spans="2:21" x14ac:dyDescent="0.3">
      <c r="B369" s="7">
        <v>46107</v>
      </c>
      <c r="C369" s="8">
        <v>1369000</v>
      </c>
      <c r="D369" s="8">
        <v>1369000</v>
      </c>
      <c r="E369" s="8">
        <v>1400000</v>
      </c>
      <c r="F369" s="8">
        <v>158124</v>
      </c>
      <c r="G369" s="8">
        <v>219721866500</v>
      </c>
      <c r="H369" s="6">
        <f t="shared" si="47"/>
        <v>1386000</v>
      </c>
      <c r="I369" s="6">
        <f t="shared" si="48"/>
        <v>1327981.6119245063</v>
      </c>
      <c r="J369" s="6">
        <f t="shared" si="49"/>
        <v>1369000</v>
      </c>
      <c r="K369" s="6"/>
      <c r="L369">
        <v>684000</v>
      </c>
      <c r="M369">
        <f t="shared" si="50"/>
        <v>1142000</v>
      </c>
      <c r="N369">
        <f t="shared" si="51"/>
        <v>1142000</v>
      </c>
      <c r="O369">
        <f t="shared" si="52"/>
        <v>685200</v>
      </c>
      <c r="P369">
        <f t="shared" si="53"/>
        <v>-685200</v>
      </c>
      <c r="Q369" s="30">
        <f>VLOOKUP(B369,Sheet2!$A$15:$G$380,5,FALSE)*S369/10</f>
        <v>0</v>
      </c>
      <c r="R369" s="30">
        <f>VLOOKUP(B369,Sheet2!$A$15:$G$380,7,FALSE)*S369/10</f>
        <v>0</v>
      </c>
      <c r="T369" s="33">
        <f t="shared" si="54"/>
        <v>-1</v>
      </c>
      <c r="U369" s="33">
        <f t="shared" si="55"/>
        <v>-1</v>
      </c>
    </row>
    <row r="370" spans="2:21" x14ac:dyDescent="0.3">
      <c r="B370" s="5">
        <v>46108</v>
      </c>
      <c r="C370" s="6">
        <v>1335000</v>
      </c>
      <c r="D370" s="6">
        <v>1335000</v>
      </c>
      <c r="E370" s="6">
        <v>1369000</v>
      </c>
      <c r="F370" s="6">
        <v>205178</v>
      </c>
      <c r="G370" s="6">
        <v>270677694500</v>
      </c>
      <c r="H370" s="6">
        <f t="shared" si="47"/>
        <v>1387000</v>
      </c>
      <c r="I370" s="6">
        <f t="shared" si="48"/>
        <v>1327904.4425781036</v>
      </c>
      <c r="J370" s="6">
        <f t="shared" si="49"/>
        <v>1335000</v>
      </c>
      <c r="K370" s="6"/>
      <c r="L370">
        <v>684000</v>
      </c>
      <c r="M370">
        <f t="shared" si="50"/>
        <v>1120000</v>
      </c>
      <c r="N370">
        <f t="shared" si="51"/>
        <v>1120000</v>
      </c>
      <c r="O370">
        <f t="shared" si="52"/>
        <v>684000</v>
      </c>
      <c r="P370">
        <f t="shared" si="53"/>
        <v>-684000</v>
      </c>
      <c r="Q370" s="30">
        <f>VLOOKUP(B370,Sheet2!$A$15:$G$380,5,FALSE)*S370/10</f>
        <v>0</v>
      </c>
      <c r="R370" s="30">
        <f>VLOOKUP(B370,Sheet2!$A$15:$G$380,7,FALSE)*S370/10</f>
        <v>0</v>
      </c>
      <c r="T370" s="33">
        <f t="shared" si="54"/>
        <v>-1</v>
      </c>
      <c r="U370" s="33">
        <f t="shared" si="55"/>
        <v>-1</v>
      </c>
    </row>
    <row r="371" spans="2:21" x14ac:dyDescent="0.3">
      <c r="B371" s="5">
        <v>46109</v>
      </c>
      <c r="C371" s="6">
        <v>1335000</v>
      </c>
      <c r="D371" s="6">
        <v>1335000</v>
      </c>
      <c r="E371" s="6">
        <v>1369000</v>
      </c>
      <c r="F371" s="6">
        <v>205178</v>
      </c>
      <c r="G371" s="6">
        <v>270677694500</v>
      </c>
      <c r="H371" s="6">
        <f t="shared" si="47"/>
        <v>1389000</v>
      </c>
      <c r="I371" s="6">
        <f t="shared" si="48"/>
        <v>1327820.2968728063</v>
      </c>
      <c r="J371" s="6">
        <f t="shared" si="49"/>
        <v>1335000</v>
      </c>
      <c r="K371" s="6"/>
      <c r="L371">
        <v>684000</v>
      </c>
      <c r="M371">
        <f t="shared" si="50"/>
        <v>1120000</v>
      </c>
      <c r="N371">
        <f t="shared" si="51"/>
        <v>1120000</v>
      </c>
      <c r="O371">
        <f t="shared" si="52"/>
        <v>684000</v>
      </c>
      <c r="P371">
        <f t="shared" si="53"/>
        <v>-684000</v>
      </c>
      <c r="Q371" s="30">
        <f>VLOOKUP(B371,Sheet2!$A$15:$G$380,5,FALSE)*S371/10</f>
        <v>0</v>
      </c>
      <c r="R371" s="30">
        <f>VLOOKUP(B371,Sheet2!$A$15:$G$380,7,FALSE)*S371/10</f>
        <v>0</v>
      </c>
      <c r="T371" s="33">
        <f t="shared" si="54"/>
        <v>-1</v>
      </c>
      <c r="U371" s="33">
        <f t="shared" si="55"/>
        <v>-1</v>
      </c>
    </row>
    <row r="372" spans="2:21" x14ac:dyDescent="0.3">
      <c r="B372" s="5">
        <v>46110</v>
      </c>
      <c r="C372" s="6">
        <v>1335000</v>
      </c>
      <c r="D372" s="6">
        <v>1335000</v>
      </c>
      <c r="E372" s="6">
        <v>1369000</v>
      </c>
      <c r="F372" s="6">
        <v>205178</v>
      </c>
      <c r="G372" s="6">
        <v>270677694500</v>
      </c>
      <c r="H372" s="6">
        <f t="shared" si="47"/>
        <v>1393000</v>
      </c>
      <c r="I372" s="6">
        <f t="shared" si="48"/>
        <v>1327728.1839940252</v>
      </c>
      <c r="J372" s="6">
        <f t="shared" si="49"/>
        <v>1335000</v>
      </c>
      <c r="K372" s="6"/>
      <c r="L372">
        <v>684000</v>
      </c>
      <c r="M372">
        <f t="shared" si="50"/>
        <v>1120000</v>
      </c>
      <c r="N372">
        <f t="shared" si="51"/>
        <v>1120000</v>
      </c>
      <c r="O372">
        <f t="shared" si="52"/>
        <v>684000</v>
      </c>
      <c r="P372">
        <f t="shared" si="53"/>
        <v>-684000</v>
      </c>
      <c r="Q372" s="30">
        <f>VLOOKUP(B372,Sheet2!$A$15:$G$380,5,FALSE)*S372/10</f>
        <v>0</v>
      </c>
      <c r="R372" s="30">
        <f>VLOOKUP(B372,Sheet2!$A$15:$G$380,7,FALSE)*S372/10</f>
        <v>0</v>
      </c>
      <c r="T372" s="33">
        <f t="shared" si="54"/>
        <v>-1</v>
      </c>
      <c r="U372" s="33">
        <f t="shared" si="55"/>
        <v>-1</v>
      </c>
    </row>
    <row r="373" spans="2:21" x14ac:dyDescent="0.3">
      <c r="B373" s="5">
        <v>46111</v>
      </c>
      <c r="C373" s="6">
        <v>1308000</v>
      </c>
      <c r="D373" s="6">
        <v>1308000</v>
      </c>
      <c r="E373" s="6">
        <v>1335000</v>
      </c>
      <c r="F373" s="6">
        <v>160318</v>
      </c>
      <c r="G373" s="6">
        <v>208118189000</v>
      </c>
      <c r="H373" s="6">
        <f t="shared" si="47"/>
        <v>1396000</v>
      </c>
      <c r="I373" s="6">
        <f t="shared" si="48"/>
        <v>1335256.4363169665</v>
      </c>
      <c r="J373" s="6">
        <f t="shared" si="49"/>
        <v>1308000</v>
      </c>
      <c r="K373" s="6"/>
      <c r="L373">
        <v>684000</v>
      </c>
      <c r="M373">
        <f t="shared" si="50"/>
        <v>1097000</v>
      </c>
      <c r="N373">
        <f t="shared" si="51"/>
        <v>1097000</v>
      </c>
      <c r="O373">
        <f t="shared" si="52"/>
        <v>684000</v>
      </c>
      <c r="P373">
        <f t="shared" si="53"/>
        <v>-684000</v>
      </c>
      <c r="Q373" s="30">
        <f>VLOOKUP(B373,Sheet2!$A$15:$G$380,5,FALSE)*S373/10</f>
        <v>0</v>
      </c>
      <c r="R373" s="30">
        <f>VLOOKUP(B373,Sheet2!$A$15:$G$380,7,FALSE)*S373/10</f>
        <v>0</v>
      </c>
      <c r="T373" s="33">
        <f t="shared" si="54"/>
        <v>-1</v>
      </c>
      <c r="U373" s="33">
        <f t="shared" si="55"/>
        <v>-1</v>
      </c>
    </row>
    <row r="374" spans="2:21" x14ac:dyDescent="0.3">
      <c r="B374" s="7">
        <v>46112</v>
      </c>
      <c r="C374" s="8">
        <v>1249000</v>
      </c>
      <c r="D374" s="8">
        <v>1249000</v>
      </c>
      <c r="E374" s="8">
        <v>1308000</v>
      </c>
      <c r="F374" s="8">
        <v>277570</v>
      </c>
      <c r="G374" s="8">
        <v>346018472500</v>
      </c>
      <c r="H374" s="6">
        <f t="shared" si="47"/>
        <v>1398000</v>
      </c>
      <c r="I374" s="6">
        <f t="shared" si="48"/>
        <v>1319409.270466893</v>
      </c>
      <c r="J374" s="6">
        <f t="shared" si="49"/>
        <v>1249000</v>
      </c>
      <c r="K374" s="6"/>
      <c r="L374">
        <v>684000</v>
      </c>
      <c r="M374">
        <f t="shared" si="50"/>
        <v>1048000</v>
      </c>
      <c r="N374">
        <f t="shared" si="51"/>
        <v>1048000</v>
      </c>
      <c r="O374">
        <f t="shared" si="52"/>
        <v>684000</v>
      </c>
      <c r="P374">
        <f t="shared" si="53"/>
        <v>-684000</v>
      </c>
      <c r="Q374" s="30">
        <f>VLOOKUP(B374,Sheet2!$A$15:$G$380,5,FALSE)*S374/10</f>
        <v>0</v>
      </c>
      <c r="R374" s="30">
        <f>VLOOKUP(B374,Sheet2!$A$15:$G$380,7,FALSE)*S374/10</f>
        <v>0</v>
      </c>
      <c r="T374" s="33">
        <f t="shared" si="54"/>
        <v>-1</v>
      </c>
      <c r="U374" s="33">
        <f t="shared" si="55"/>
        <v>-1</v>
      </c>
    </row>
    <row r="375" spans="2:21" x14ac:dyDescent="0.3">
      <c r="B375" s="5">
        <v>46113</v>
      </c>
      <c r="C375" s="6">
        <v>1333000</v>
      </c>
      <c r="D375" s="6">
        <v>1333000</v>
      </c>
      <c r="E375" s="6">
        <v>1249000</v>
      </c>
      <c r="F375" s="6">
        <v>243803</v>
      </c>
      <c r="G375" s="6">
        <v>322483266000</v>
      </c>
      <c r="H375" s="6">
        <f t="shared" si="47"/>
        <v>1401000</v>
      </c>
      <c r="I375" s="6">
        <f t="shared" si="48"/>
        <v>1311283.3261987332</v>
      </c>
      <c r="J375" s="6">
        <f t="shared" si="49"/>
        <v>1333000</v>
      </c>
      <c r="K375" s="6"/>
      <c r="L375">
        <v>684000</v>
      </c>
      <c r="M375">
        <f t="shared" si="50"/>
        <v>1118000</v>
      </c>
      <c r="N375">
        <f t="shared" si="51"/>
        <v>1118000</v>
      </c>
      <c r="O375">
        <f t="shared" si="52"/>
        <v>684000</v>
      </c>
      <c r="P375">
        <f t="shared" si="53"/>
        <v>-684000</v>
      </c>
      <c r="Q375" s="30">
        <f>VLOOKUP(B375,Sheet2!$A$15:$G$380,5,FALSE)*S375/10</f>
        <v>0</v>
      </c>
      <c r="R375" s="30">
        <f>VLOOKUP(B375,Sheet2!$A$15:$G$380,7,FALSE)*S375/10</f>
        <v>0</v>
      </c>
      <c r="T375" s="33">
        <f t="shared" si="54"/>
        <v>-1</v>
      </c>
      <c r="U375" s="33">
        <f t="shared" si="55"/>
        <v>-1</v>
      </c>
    </row>
    <row r="376" spans="2:21" x14ac:dyDescent="0.3">
      <c r="B376" s="5">
        <v>46114</v>
      </c>
      <c r="C376" s="6">
        <v>1417000</v>
      </c>
      <c r="D376" s="6">
        <v>1417000</v>
      </c>
      <c r="E376" s="6">
        <v>1333000</v>
      </c>
      <c r="F376" s="6">
        <v>437390</v>
      </c>
      <c r="G376" s="6">
        <v>622701431000</v>
      </c>
      <c r="H376" s="6">
        <f t="shared" si="47"/>
        <v>1403000</v>
      </c>
      <c r="I376" s="6">
        <f t="shared" si="48"/>
        <v>1332488.4438333579</v>
      </c>
      <c r="J376" s="6">
        <f t="shared" si="49"/>
        <v>1417000</v>
      </c>
      <c r="K376" s="6"/>
      <c r="L376">
        <v>684000</v>
      </c>
      <c r="M376">
        <f t="shared" si="50"/>
        <v>1161000</v>
      </c>
      <c r="N376">
        <f t="shared" si="51"/>
        <v>1161000</v>
      </c>
      <c r="O376">
        <f t="shared" si="52"/>
        <v>696600</v>
      </c>
      <c r="P376">
        <f t="shared" si="53"/>
        <v>-696600</v>
      </c>
      <c r="Q376" s="30">
        <f>VLOOKUP(B376,Sheet2!$A$15:$G$380,5,FALSE)*S376/10</f>
        <v>0</v>
      </c>
      <c r="R376" s="30">
        <f>VLOOKUP(B376,Sheet2!$A$15:$G$380,7,FALSE)*S376/10</f>
        <v>0</v>
      </c>
      <c r="T376" s="33">
        <f t="shared" si="54"/>
        <v>-1</v>
      </c>
      <c r="U376" s="33">
        <f t="shared" si="55"/>
        <v>-1</v>
      </c>
    </row>
    <row r="377" spans="2:21" x14ac:dyDescent="0.3">
      <c r="B377" s="5">
        <v>46115</v>
      </c>
      <c r="C377" s="6">
        <v>1449000</v>
      </c>
      <c r="D377" s="6">
        <v>1449000</v>
      </c>
      <c r="E377" s="6">
        <v>1417000</v>
      </c>
      <c r="F377" s="6">
        <v>193653</v>
      </c>
      <c r="G377" s="6">
        <v>280459555500</v>
      </c>
      <c r="H377" s="6">
        <f t="shared" si="47"/>
        <v>1409000</v>
      </c>
      <c r="I377" s="6">
        <f t="shared" si="48"/>
        <v>1347077.8096326948</v>
      </c>
      <c r="J377" s="6">
        <f t="shared" si="49"/>
        <v>1449000</v>
      </c>
      <c r="K377" s="6"/>
      <c r="L377">
        <v>684000</v>
      </c>
      <c r="M377">
        <f t="shared" si="50"/>
        <v>1176000</v>
      </c>
      <c r="N377">
        <f t="shared" si="51"/>
        <v>1176000</v>
      </c>
      <c r="O377">
        <f t="shared" si="52"/>
        <v>705600</v>
      </c>
      <c r="P377">
        <f t="shared" si="53"/>
        <v>-705600</v>
      </c>
      <c r="Q377" s="30">
        <f>VLOOKUP(B377,Sheet2!$A$15:$G$380,5,FALSE)*S377/10</f>
        <v>0</v>
      </c>
      <c r="R377" s="30">
        <f>VLOOKUP(B377,Sheet2!$A$15:$G$380,7,FALSE)*S377/10</f>
        <v>0</v>
      </c>
      <c r="T377" s="33">
        <f t="shared" si="54"/>
        <v>-1</v>
      </c>
      <c r="U377" s="33">
        <f t="shared" si="55"/>
        <v>-1</v>
      </c>
    </row>
    <row r="378" spans="2:21" x14ac:dyDescent="0.3">
      <c r="B378" s="5">
        <v>46116</v>
      </c>
      <c r="C378" s="6">
        <v>1449000</v>
      </c>
      <c r="D378" s="6">
        <v>1449000</v>
      </c>
      <c r="E378" s="6">
        <v>1417000</v>
      </c>
      <c r="F378" s="6">
        <v>193653</v>
      </c>
      <c r="G378" s="6">
        <v>280459555500</v>
      </c>
      <c r="H378" s="6">
        <f t="shared" si="47"/>
        <v>1410000</v>
      </c>
      <c r="I378" s="6">
        <f t="shared" si="48"/>
        <v>1361863.6534399805</v>
      </c>
      <c r="J378" s="6">
        <f t="shared" si="49"/>
        <v>1449000</v>
      </c>
      <c r="K378" s="6"/>
      <c r="L378">
        <v>684000</v>
      </c>
      <c r="M378">
        <f t="shared" si="50"/>
        <v>1180000</v>
      </c>
      <c r="N378">
        <f t="shared" si="51"/>
        <v>1180000</v>
      </c>
      <c r="O378">
        <f t="shared" si="52"/>
        <v>708000</v>
      </c>
      <c r="P378">
        <f t="shared" si="53"/>
        <v>-708000</v>
      </c>
      <c r="Q378" s="30">
        <f>VLOOKUP(B378,Sheet2!$A$15:$G$380,5,FALSE)*S378/10</f>
        <v>0</v>
      </c>
      <c r="R378" s="30">
        <f>VLOOKUP(B378,Sheet2!$A$15:$G$380,7,FALSE)*S378/10</f>
        <v>0</v>
      </c>
      <c r="T378" s="33">
        <f t="shared" si="54"/>
        <v>-1</v>
      </c>
      <c r="U378" s="33">
        <f t="shared" si="55"/>
        <v>-1</v>
      </c>
    </row>
    <row r="379" spans="2:21" x14ac:dyDescent="0.3">
      <c r="B379" s="7">
        <v>46117</v>
      </c>
      <c r="C379" s="8">
        <v>1449000</v>
      </c>
      <c r="D379" s="8">
        <v>1449000</v>
      </c>
      <c r="E379" s="8">
        <v>1417000</v>
      </c>
      <c r="F379" s="8">
        <v>193653</v>
      </c>
      <c r="G379" s="8">
        <v>280459555500</v>
      </c>
      <c r="H379" s="6">
        <f t="shared" si="47"/>
        <v>1406000</v>
      </c>
      <c r="I379" s="6">
        <f t="shared" si="48"/>
        <v>1376849.9711771489</v>
      </c>
      <c r="J379" s="6">
        <f t="shared" si="49"/>
        <v>1449000</v>
      </c>
      <c r="K379" s="6"/>
      <c r="L379">
        <v>684000</v>
      </c>
      <c r="M379">
        <f t="shared" si="50"/>
        <v>1184000</v>
      </c>
      <c r="N379">
        <f t="shared" si="51"/>
        <v>1184000</v>
      </c>
      <c r="O379">
        <f t="shared" si="52"/>
        <v>710400</v>
      </c>
      <c r="P379">
        <f t="shared" si="53"/>
        <v>-710400</v>
      </c>
      <c r="Q379" s="30">
        <f>VLOOKUP(B379,Sheet2!$A$15:$G$380,5,FALSE)*S379/10</f>
        <v>0</v>
      </c>
      <c r="R379" s="30">
        <f>VLOOKUP(B379,Sheet2!$A$15:$G$380,7,FALSE)*S379/10</f>
        <v>0</v>
      </c>
      <c r="T379" s="33">
        <f t="shared" si="54"/>
        <v>-1</v>
      </c>
      <c r="U379" s="33">
        <f t="shared" si="55"/>
        <v>-1</v>
      </c>
    </row>
    <row r="380" spans="2:21" x14ac:dyDescent="0.3">
      <c r="B380" s="5">
        <v>46118</v>
      </c>
      <c r="C380" s="6">
        <v>1450000</v>
      </c>
      <c r="D380" s="6">
        <v>1450000</v>
      </c>
      <c r="E380" s="6">
        <v>1449000</v>
      </c>
      <c r="F380" s="6">
        <v>128832</v>
      </c>
      <c r="G380" s="6">
        <v>185692446000</v>
      </c>
      <c r="H380" s="6">
        <f t="shared" ref="H380" si="56">CEILING(SUM(G351:G380)/SUM(F351:F380),1000)</f>
        <v>1401000</v>
      </c>
      <c r="I380" s="6">
        <f t="shared" ref="I380" si="57">SUM(G374:G380)/SUM(F374:F380)</f>
        <v>1389391.2225795509</v>
      </c>
      <c r="J380" s="6">
        <f t="shared" si="49"/>
        <v>1450000</v>
      </c>
      <c r="K380" s="6"/>
      <c r="L380">
        <v>684000</v>
      </c>
      <c r="M380">
        <f t="shared" si="50"/>
        <v>1186000</v>
      </c>
      <c r="N380">
        <f t="shared" si="51"/>
        <v>1186000</v>
      </c>
      <c r="O380">
        <f t="shared" si="52"/>
        <v>711600</v>
      </c>
      <c r="P380">
        <f t="shared" si="53"/>
        <v>-711600</v>
      </c>
      <c r="Q380" s="30">
        <f>VLOOKUP(B380,Sheet2!$A$15:$G$380,5,FALSE)*S380/10</f>
        <v>0</v>
      </c>
      <c r="R380" s="30">
        <f>VLOOKUP(B380,Sheet2!$A$15:$G$380,7,FALSE)*S380/10</f>
        <v>0</v>
      </c>
      <c r="T380" s="33">
        <f t="shared" si="54"/>
        <v>-1</v>
      </c>
      <c r="U380" s="33">
        <f t="shared" si="55"/>
        <v>-1</v>
      </c>
    </row>
  </sheetData>
  <phoneticPr fontId="9" type="noConversion"/>
  <dataValidations count="6">
    <dataValidation type="list" allowBlank="1" showInputMessage="1" sqref="C7" xr:uid="{6D2DA2E0-CE25-49DB-8FC9-EE48A08703B4}">
      <formula1>"NONE,SUN,SAT,ALL"</formula1>
    </dataValidation>
    <dataValidation type="list" allowBlank="1" showInputMessage="1" sqref="C5" xr:uid="{DF1A8892-5B9C-4002-8A12-1CCC10F9E55F}">
      <formula1>"일간,주간,월간,분기간,년간"</formula1>
    </dataValidation>
    <dataValidation type="list" allowBlank="1" showInputMessage="1" sqref="C6" xr:uid="{9791AA89-5B46-4B3B-AC59-B7346800695C}">
      <formula1>"Exclusive,N/A,NULL,Previous"</formula1>
    </dataValidation>
    <dataValidation type="list" allowBlank="1" showInputMessage="1" sqref="D5" xr:uid="{65A92DEB-3FB5-4DDB-BF5A-BB1597A2BC32}">
      <formula1>"Local,KRW,USD"</formula1>
    </dataValidation>
    <dataValidation type="list" allowBlank="1" showInputMessage="1" sqref="D6" xr:uid="{A799C54E-6AF7-4A23-948C-6984E5744E4F}">
      <formula1>"Asc,Desc"</formula1>
    </dataValidation>
    <dataValidation type="list" allowBlank="1" showInputMessage="1" sqref="D3" xr:uid="{4F4AD123-E70C-4320-9CD4-EE9EC08B0691}">
      <formula1>"Default,원,천원,만원,백만원,억원,십억원"</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AD8F5-DCA5-47F2-9039-61E45EA80A87}">
  <sheetPr codeName="Sheet9"/>
  <dimension ref="B2:B6"/>
  <sheetViews>
    <sheetView workbookViewId="0">
      <selection activeCell="B6" sqref="B6"/>
    </sheetView>
  </sheetViews>
  <sheetFormatPr defaultRowHeight="16.5" x14ac:dyDescent="0.3"/>
  <sheetData>
    <row r="2" spans="2:2" x14ac:dyDescent="0.3">
      <c r="B2" t="s">
        <v>136</v>
      </c>
    </row>
    <row r="4" spans="2:2" x14ac:dyDescent="0.3">
      <c r="B4" t="s">
        <v>137</v>
      </c>
    </row>
    <row r="6" spans="2:2" x14ac:dyDescent="0.3">
      <c r="B6" t="s">
        <v>189</v>
      </c>
    </row>
  </sheetData>
  <phoneticPr fontId="9" type="noConversion"/>
  <pageMargins left="0.7" right="0.7" top="0.75" bottom="0.75" header="0.3" footer="0.3"/>
  <pageSetup paperSize="9" orientation="portrait"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521A7-3FE6-4FA2-BCC7-C118EDC7EE5A}">
  <sheetPr codeName="Sheet8"/>
  <dimension ref="A1:L4"/>
  <sheetViews>
    <sheetView workbookViewId="0">
      <selection activeCell="L4" sqref="L4"/>
    </sheetView>
  </sheetViews>
  <sheetFormatPr defaultRowHeight="16.5" x14ac:dyDescent="0.3"/>
  <cols>
    <col min="2" max="2" width="13.75" bestFit="1" customWidth="1"/>
    <col min="3" max="3" width="10.5" style="42" bestFit="1" customWidth="1"/>
    <col min="12" max="12" width="10.5" style="42" bestFit="1" customWidth="1"/>
  </cols>
  <sheetData>
    <row r="1" spans="1:12" x14ac:dyDescent="0.3">
      <c r="A1" s="35" t="s">
        <v>122</v>
      </c>
      <c r="B1" s="35"/>
      <c r="F1" s="35" t="s">
        <v>124</v>
      </c>
      <c r="G1" s="35"/>
      <c r="J1" s="35" t="s">
        <v>125</v>
      </c>
      <c r="K1" s="35"/>
    </row>
    <row r="2" spans="1:12" x14ac:dyDescent="0.3">
      <c r="A2" t="s">
        <v>123</v>
      </c>
      <c r="B2" t="s">
        <v>158</v>
      </c>
      <c r="C2" s="42" t="s">
        <v>119</v>
      </c>
      <c r="F2" t="s">
        <v>123</v>
      </c>
      <c r="G2" t="s">
        <v>158</v>
      </c>
      <c r="H2" t="s">
        <v>119</v>
      </c>
      <c r="J2" t="s">
        <v>123</v>
      </c>
      <c r="K2" t="s">
        <v>158</v>
      </c>
      <c r="L2" s="42" t="s">
        <v>119</v>
      </c>
    </row>
    <row r="3" spans="1:12" x14ac:dyDescent="0.3">
      <c r="A3" s="63" t="str">
        <f>RTD("efrtdsvr.rtdproc","","009830","0")</f>
        <v>009830</v>
      </c>
      <c r="B3" s="63" t="s">
        <v>199</v>
      </c>
      <c r="C3" s="64">
        <v>35800</v>
      </c>
      <c r="J3" t="e" cm="1" vm="1">
        <f t="array" ref="J3">[1]!Item1</f>
        <v>#REF!</v>
      </c>
      <c r="K3" s="63" t="e" vm="1">
        <f t="array" ref="K3">[1]!Item2</f>
        <v>#REF!</v>
      </c>
      <c r="L3" s="64">
        <v>35450</v>
      </c>
    </row>
    <row r="4" spans="1:12" x14ac:dyDescent="0.3">
      <c r="A4" t="str">
        <f>RTD("efrtdsvr.rtdproc","","011790","0")</f>
        <v>011790</v>
      </c>
      <c r="C4" s="42">
        <f>RTD("efrtdsvr.rtdproc","","011790","3")</f>
        <v>97100</v>
      </c>
      <c r="J4" s="63" t="e" vm="1">
        <f t="array" ref="J4">[2]!Item1</f>
        <v>#REF!</v>
      </c>
      <c r="K4" s="63" t="e" vm="1">
        <f t="array" ref="K4">[2]!Item2</f>
        <v>#REF!</v>
      </c>
      <c r="L4" s="64" t="e" vm="1">
        <f t="array" ref="L4">[2]!Item4</f>
        <v>#REF!</v>
      </c>
    </row>
  </sheetData>
  <phoneticPr fontId="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BFB10-9BDF-4A80-9BFF-189DE4BDABBB}">
  <sheetPr codeName="Sheet6"/>
  <dimension ref="A1:B3"/>
  <sheetViews>
    <sheetView workbookViewId="0">
      <selection activeCell="F8" sqref="F8"/>
    </sheetView>
  </sheetViews>
  <sheetFormatPr defaultRowHeight="16.5" x14ac:dyDescent="0.3"/>
  <cols>
    <col min="1" max="1" width="13.625" bestFit="1" customWidth="1"/>
    <col min="2" max="2" width="42.375" bestFit="1" customWidth="1"/>
  </cols>
  <sheetData>
    <row r="1" spans="1:2" x14ac:dyDescent="0.3">
      <c r="A1" t="s">
        <v>75</v>
      </c>
      <c r="B1" t="s">
        <v>110</v>
      </c>
    </row>
    <row r="2" spans="1:2" x14ac:dyDescent="0.3">
      <c r="A2" t="s">
        <v>76</v>
      </c>
      <c r="B2" t="s">
        <v>165</v>
      </c>
    </row>
    <row r="3" spans="1:2" x14ac:dyDescent="0.3">
      <c r="A3" t="s">
        <v>77</v>
      </c>
      <c r="B3" t="s">
        <v>78</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11</vt:i4>
      </vt:variant>
    </vt:vector>
  </HeadingPairs>
  <TitlesOfParts>
    <vt:vector size="11" baseType="lpstr">
      <vt:lpstr>Sheet1</vt:lpstr>
      <vt:lpstr>한화에어로스페이스</vt:lpstr>
      <vt:lpstr>SKC</vt:lpstr>
      <vt:lpstr>한화솔루션</vt:lpstr>
      <vt:lpstr>휴림에이텍</vt:lpstr>
      <vt:lpstr>피엠티</vt:lpstr>
      <vt:lpstr>Sheet2</vt:lpstr>
      <vt:lpstr>Sheet4</vt:lpstr>
      <vt:lpstr>참고</vt:lpstr>
      <vt:lpstr>RealTime</vt:lpstr>
      <vt:lpstr>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Mooseok Kang</dc:creator>
  <cp:lastModifiedBy>Mooseok Kang</cp:lastModifiedBy>
  <dcterms:created xsi:type="dcterms:W3CDTF">2026-04-06T10:51:39Z</dcterms:created>
  <dcterms:modified xsi:type="dcterms:W3CDTF">2026-06-17T06:45:48Z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igitalsignaturetoken">
    <vt:lpwstr>IATuP9r4BOKK2UjxRkLclg==</vt:lpwstr>
  </property>
  <property fmtid="{D5CDD505-2E9C-101B-9397-08002B2CF9AE}" pid="3" name="DST date">
    <vt:lpwstr>20260406210903</vt:lpwstr>
  </property>
</Properties>
</file>